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fileSharing readOnlyRecommended="1" userName="12czrad1" algorithmName="SHA-512" hashValue="o0RoeLlR2/TLTLefG/iiZSMoVgtpeaqzWleizqApHJIL+Hv/32N1o6ss3CtZk+7xZQzfW7YjNOzrJmxE80XayQ==" saltValue="dG/cM40n48rt4VAweeDEAw==" spinCount="100000"/>
  <workbookPr/>
  <mc:AlternateContent xmlns:mc="http://schemas.openxmlformats.org/markup-compatibility/2006">
    <mc:Choice Requires="x15">
      <x15ac:absPath xmlns:x15ac="http://schemas.microsoft.com/office/spreadsheetml/2010/11/ac" url="C:\Users\12czrad1\Desktop\san-tyai\Phase2\"/>
    </mc:Choice>
  </mc:AlternateContent>
  <xr:revisionPtr revIDLastSave="0" documentId="13_ncr:10001_{C1B0F26A-4E4F-4D2E-9F0E-041BE6051E6F}" xr6:coauthVersionLast="47" xr6:coauthVersionMax="47" xr10:uidLastSave="{00000000-0000-0000-0000-000000000000}"/>
  <bookViews>
    <workbookView xWindow="-98" yWindow="-98" windowWidth="20715" windowHeight="13276" xr2:uid="{2489B4C7-F9E5-4BE7-8E4A-E7124BD02C25}"/>
  </bookViews>
  <sheets>
    <sheet name="Sheet1" sheetId="9" r:id="rId1"/>
    <sheet name="Sheet3 (3_4)" sheetId="1" r:id="rId2"/>
    <sheet name="Sheet2_2 (3_m1)" sheetId="4" r:id="rId3"/>
    <sheet name="Sheet2_3 (18_m1)" sheetId="3" r:id="rId4"/>
    <sheet name="Sheet2_3 (3_m2)" sheetId="5" r:id="rId5"/>
    <sheet name="Sheet2_3 (18_m2)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9" i="6" l="1"/>
  <c r="E119" i="6" s="1"/>
  <c r="E117" i="6"/>
  <c r="D117" i="6"/>
  <c r="E116" i="6"/>
  <c r="D116" i="6"/>
  <c r="E115" i="6"/>
  <c r="D115" i="6"/>
  <c r="D114" i="6"/>
  <c r="E114" i="6" s="1"/>
  <c r="E113" i="6"/>
  <c r="D113" i="6"/>
  <c r="D112" i="6"/>
  <c r="E112" i="6" s="1"/>
  <c r="D111" i="6"/>
  <c r="E111" i="6" s="1"/>
  <c r="D110" i="6"/>
  <c r="E110" i="6" s="1"/>
  <c r="E109" i="6"/>
  <c r="D109" i="6"/>
  <c r="E108" i="6"/>
  <c r="D108" i="6"/>
  <c r="E107" i="6"/>
  <c r="D107" i="6"/>
  <c r="D106" i="6"/>
  <c r="E106" i="6" s="1"/>
  <c r="E105" i="6"/>
  <c r="D105" i="6"/>
  <c r="D104" i="6"/>
  <c r="E104" i="6" s="1"/>
  <c r="D103" i="6"/>
  <c r="E103" i="6" s="1"/>
  <c r="D102" i="6"/>
  <c r="E102" i="6" s="1"/>
  <c r="E101" i="6"/>
  <c r="D101" i="6"/>
  <c r="E100" i="6"/>
  <c r="D100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E14" i="6"/>
  <c r="D14" i="6"/>
  <c r="K13" i="6"/>
  <c r="E13" i="6"/>
  <c r="D13" i="6"/>
  <c r="K12" i="6"/>
  <c r="E12" i="6"/>
  <c r="D12" i="6"/>
  <c r="K11" i="6"/>
  <c r="D11" i="6"/>
  <c r="E11" i="6" s="1"/>
  <c r="K10" i="6"/>
  <c r="D10" i="6"/>
  <c r="E10" i="6" s="1"/>
  <c r="K9" i="6"/>
  <c r="D9" i="6"/>
  <c r="E9" i="6" s="1"/>
  <c r="K8" i="6"/>
  <c r="E8" i="6"/>
  <c r="D8" i="6"/>
  <c r="E7" i="6"/>
  <c r="D7" i="6"/>
  <c r="E6" i="6"/>
  <c r="D6" i="6"/>
  <c r="E5" i="6"/>
  <c r="D5" i="6"/>
  <c r="B5" i="6"/>
  <c r="B6" i="6" s="1"/>
  <c r="B7" i="6" s="1"/>
  <c r="B8" i="6" s="1"/>
  <c r="B9" i="6" s="1"/>
  <c r="B10" i="6" s="1"/>
  <c r="B11" i="6" s="1"/>
  <c r="B12" i="6" s="1"/>
  <c r="B13" i="6" s="1"/>
  <c r="B14" i="6" s="1"/>
  <c r="B15" i="6" s="1"/>
  <c r="E4" i="6"/>
  <c r="D4" i="6"/>
  <c r="B4" i="6"/>
  <c r="O3" i="6"/>
  <c r="F119" i="6" s="1"/>
  <c r="D3" i="6"/>
  <c r="E3" i="6" s="1"/>
  <c r="E119" i="5"/>
  <c r="D119" i="5"/>
  <c r="F117" i="5"/>
  <c r="E117" i="5"/>
  <c r="D117" i="5"/>
  <c r="D116" i="5"/>
  <c r="E116" i="5" s="1"/>
  <c r="D115" i="5"/>
  <c r="E115" i="5" s="1"/>
  <c r="F114" i="5"/>
  <c r="E114" i="5"/>
  <c r="D114" i="5"/>
  <c r="D113" i="5"/>
  <c r="E113" i="5" s="1"/>
  <c r="D112" i="5"/>
  <c r="E112" i="5" s="1"/>
  <c r="E111" i="5"/>
  <c r="D111" i="5"/>
  <c r="E110" i="5"/>
  <c r="D110" i="5"/>
  <c r="F109" i="5"/>
  <c r="E109" i="5"/>
  <c r="D109" i="5"/>
  <c r="D108" i="5"/>
  <c r="E108" i="5" s="1"/>
  <c r="D107" i="5"/>
  <c r="E107" i="5" s="1"/>
  <c r="F107" i="5" s="1"/>
  <c r="F106" i="5"/>
  <c r="E106" i="5"/>
  <c r="D106" i="5"/>
  <c r="D105" i="5"/>
  <c r="E105" i="5" s="1"/>
  <c r="D104" i="5"/>
  <c r="E104" i="5" s="1"/>
  <c r="F104" i="5" s="1"/>
  <c r="F103" i="5"/>
  <c r="E103" i="5"/>
  <c r="D103" i="5"/>
  <c r="D102" i="5"/>
  <c r="E102" i="5" s="1"/>
  <c r="D101" i="5"/>
  <c r="E101" i="5" s="1"/>
  <c r="F101" i="5" s="1"/>
  <c r="D100" i="5"/>
  <c r="E100" i="5" s="1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F14" i="5"/>
  <c r="E14" i="5"/>
  <c r="D14" i="5"/>
  <c r="K13" i="5"/>
  <c r="D13" i="5"/>
  <c r="E13" i="5" s="1"/>
  <c r="K12" i="5"/>
  <c r="F12" i="5"/>
  <c r="E12" i="5"/>
  <c r="D12" i="5"/>
  <c r="K11" i="5"/>
  <c r="D11" i="5"/>
  <c r="E11" i="5" s="1"/>
  <c r="F11" i="5" s="1"/>
  <c r="K10" i="5"/>
  <c r="F10" i="5"/>
  <c r="E10" i="5"/>
  <c r="D10" i="5"/>
  <c r="K9" i="5"/>
  <c r="E9" i="5"/>
  <c r="F9" i="5" s="1"/>
  <c r="D9" i="5"/>
  <c r="K8" i="5"/>
  <c r="D8" i="5"/>
  <c r="E8" i="5" s="1"/>
  <c r="E7" i="5"/>
  <c r="F7" i="5" s="1"/>
  <c r="D7" i="5"/>
  <c r="E6" i="5"/>
  <c r="D6" i="5"/>
  <c r="D5" i="5"/>
  <c r="E5" i="5" s="1"/>
  <c r="F5" i="5" s="1"/>
  <c r="E4" i="5"/>
  <c r="D4" i="5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O3" i="5"/>
  <c r="E3" i="5"/>
  <c r="F3" i="5" s="1"/>
  <c r="D3" i="5"/>
  <c r="D119" i="4"/>
  <c r="E119" i="4" s="1"/>
  <c r="D117" i="4"/>
  <c r="E117" i="4" s="1"/>
  <c r="D116" i="4"/>
  <c r="E116" i="4" s="1"/>
  <c r="D115" i="4"/>
  <c r="E115" i="4" s="1"/>
  <c r="D114" i="4"/>
  <c r="E114" i="4" s="1"/>
  <c r="E113" i="4"/>
  <c r="D113" i="4"/>
  <c r="D112" i="4"/>
  <c r="E112" i="4" s="1"/>
  <c r="E111" i="4"/>
  <c r="D111" i="4"/>
  <c r="D110" i="4"/>
  <c r="E110" i="4" s="1"/>
  <c r="D109" i="4"/>
  <c r="E109" i="4" s="1"/>
  <c r="F108" i="4"/>
  <c r="D108" i="4"/>
  <c r="E108" i="4" s="1"/>
  <c r="D107" i="4"/>
  <c r="E107" i="4" s="1"/>
  <c r="D106" i="4"/>
  <c r="E106" i="4" s="1"/>
  <c r="E105" i="4"/>
  <c r="D105" i="4"/>
  <c r="D104" i="4"/>
  <c r="E104" i="4" s="1"/>
  <c r="F103" i="4"/>
  <c r="E103" i="4"/>
  <c r="D103" i="4"/>
  <c r="D102" i="4"/>
  <c r="E102" i="4" s="1"/>
  <c r="D101" i="4"/>
  <c r="E101" i="4" s="1"/>
  <c r="D100" i="4"/>
  <c r="E100" i="4" s="1"/>
  <c r="F100" i="4" s="1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D14" i="4"/>
  <c r="E14" i="4" s="1"/>
  <c r="F14" i="4" s="1"/>
  <c r="J13" i="4"/>
  <c r="D13" i="4"/>
  <c r="E13" i="4" s="1"/>
  <c r="J12" i="4"/>
  <c r="D12" i="4"/>
  <c r="E12" i="4" s="1"/>
  <c r="F12" i="4" s="1"/>
  <c r="J11" i="4"/>
  <c r="E11" i="4"/>
  <c r="D11" i="4"/>
  <c r="J10" i="4"/>
  <c r="D10" i="4"/>
  <c r="E10" i="4" s="1"/>
  <c r="J9" i="4"/>
  <c r="E9" i="4"/>
  <c r="F9" i="4" s="1"/>
  <c r="D9" i="4"/>
  <c r="J8" i="4"/>
  <c r="D8" i="4"/>
  <c r="E8" i="4" s="1"/>
  <c r="D7" i="4"/>
  <c r="E7" i="4" s="1"/>
  <c r="D6" i="4"/>
  <c r="E6" i="4" s="1"/>
  <c r="B6" i="4"/>
  <c r="B7" i="4" s="1"/>
  <c r="B8" i="4" s="1"/>
  <c r="B9" i="4" s="1"/>
  <c r="B10" i="4" s="1"/>
  <c r="B11" i="4" s="1"/>
  <c r="B12" i="4" s="1"/>
  <c r="B13" i="4" s="1"/>
  <c r="B14" i="4" s="1"/>
  <c r="B15" i="4" s="1"/>
  <c r="F5" i="4"/>
  <c r="D5" i="4"/>
  <c r="E5" i="4" s="1"/>
  <c r="D4" i="4"/>
  <c r="E4" i="4" s="1"/>
  <c r="B4" i="4"/>
  <c r="B5" i="4" s="1"/>
  <c r="N3" i="4"/>
  <c r="F116" i="4" s="1"/>
  <c r="E3" i="4"/>
  <c r="D3" i="4"/>
  <c r="E119" i="3"/>
  <c r="D119" i="3"/>
  <c r="D117" i="3"/>
  <c r="E117" i="3" s="1"/>
  <c r="E116" i="3"/>
  <c r="D116" i="3"/>
  <c r="E115" i="3"/>
  <c r="D115" i="3"/>
  <c r="E114" i="3"/>
  <c r="D114" i="3"/>
  <c r="D113" i="3"/>
  <c r="E113" i="3" s="1"/>
  <c r="D112" i="3"/>
  <c r="E112" i="3" s="1"/>
  <c r="D111" i="3"/>
  <c r="E111" i="3" s="1"/>
  <c r="E110" i="3"/>
  <c r="D110" i="3"/>
  <c r="D109" i="3"/>
  <c r="E109" i="3" s="1"/>
  <c r="E108" i="3"/>
  <c r="D108" i="3"/>
  <c r="E107" i="3"/>
  <c r="D107" i="3"/>
  <c r="E106" i="3"/>
  <c r="D106" i="3"/>
  <c r="D105" i="3"/>
  <c r="E105" i="3" s="1"/>
  <c r="D104" i="3"/>
  <c r="E104" i="3" s="1"/>
  <c r="D103" i="3"/>
  <c r="E103" i="3" s="1"/>
  <c r="E102" i="3"/>
  <c r="D102" i="3"/>
  <c r="D101" i="3"/>
  <c r="E101" i="3" s="1"/>
  <c r="E100" i="3"/>
  <c r="D100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E14" i="3"/>
  <c r="D14" i="3"/>
  <c r="K13" i="3"/>
  <c r="E13" i="3"/>
  <c r="D13" i="3"/>
  <c r="K12" i="3"/>
  <c r="D12" i="3"/>
  <c r="E12" i="3" s="1"/>
  <c r="K11" i="3"/>
  <c r="E11" i="3"/>
  <c r="D11" i="3"/>
  <c r="K10" i="3"/>
  <c r="D10" i="3"/>
  <c r="E10" i="3" s="1"/>
  <c r="K9" i="3"/>
  <c r="D9" i="3"/>
  <c r="E9" i="3" s="1"/>
  <c r="K8" i="3"/>
  <c r="D8" i="3"/>
  <c r="E8" i="3" s="1"/>
  <c r="D7" i="3"/>
  <c r="E7" i="3" s="1"/>
  <c r="D6" i="3"/>
  <c r="E6" i="3" s="1"/>
  <c r="D5" i="3"/>
  <c r="E5" i="3" s="1"/>
  <c r="D4" i="3"/>
  <c r="E4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O3" i="3"/>
  <c r="E3" i="3"/>
  <c r="D3" i="3"/>
  <c r="D119" i="1"/>
  <c r="E119" i="1" s="1"/>
  <c r="D117" i="1"/>
  <c r="E117" i="1" s="1"/>
  <c r="D116" i="1"/>
  <c r="E116" i="1" s="1"/>
  <c r="E115" i="1"/>
  <c r="D115" i="1"/>
  <c r="D114" i="1"/>
  <c r="E114" i="1" s="1"/>
  <c r="D113" i="1"/>
  <c r="E113" i="1" s="1"/>
  <c r="E112" i="1"/>
  <c r="D112" i="1"/>
  <c r="E111" i="1"/>
  <c r="D111" i="1"/>
  <c r="D110" i="1"/>
  <c r="E110" i="1" s="1"/>
  <c r="E109" i="1"/>
  <c r="D109" i="1"/>
  <c r="E108" i="1"/>
  <c r="D108" i="1"/>
  <c r="E107" i="1"/>
  <c r="D107" i="1"/>
  <c r="D106" i="1"/>
  <c r="E106" i="1" s="1"/>
  <c r="E105" i="1"/>
  <c r="D105" i="1"/>
  <c r="D104" i="1"/>
  <c r="E104" i="1" s="1"/>
  <c r="E103" i="1"/>
  <c r="D103" i="1"/>
  <c r="D102" i="1"/>
  <c r="E102" i="1" s="1"/>
  <c r="E101" i="1"/>
  <c r="D101" i="1"/>
  <c r="D100" i="1"/>
  <c r="E100" i="1" s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E14" i="1"/>
  <c r="D14" i="1"/>
  <c r="K13" i="1"/>
  <c r="E13" i="1"/>
  <c r="D13" i="1"/>
  <c r="K12" i="1"/>
  <c r="D12" i="1"/>
  <c r="K11" i="1"/>
  <c r="D11" i="1"/>
  <c r="K10" i="1"/>
  <c r="E10" i="1"/>
  <c r="D10" i="1"/>
  <c r="K9" i="1"/>
  <c r="D9" i="1"/>
  <c r="K8" i="1"/>
  <c r="E8" i="1"/>
  <c r="D8" i="1"/>
  <c r="E7" i="1"/>
  <c r="D7" i="1"/>
  <c r="D6" i="1"/>
  <c r="E5" i="1"/>
  <c r="D5" i="1"/>
  <c r="E4" i="1"/>
  <c r="D4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O3" i="1"/>
  <c r="F119" i="1" s="1"/>
  <c r="D3" i="1"/>
  <c r="E3" i="1" s="1"/>
  <c r="F8" i="6" l="1"/>
  <c r="F3" i="6"/>
  <c r="F11" i="6"/>
  <c r="F113" i="6"/>
  <c r="F105" i="6"/>
  <c r="F9" i="6"/>
  <c r="F6" i="6"/>
  <c r="F13" i="6"/>
  <c r="F4" i="6"/>
  <c r="D19" i="6"/>
  <c r="E19" i="6" s="1"/>
  <c r="F19" i="6" s="1"/>
  <c r="B16" i="6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D22" i="6"/>
  <c r="E22" i="6" s="1"/>
  <c r="F22" i="6" s="1"/>
  <c r="D16" i="6"/>
  <c r="E16" i="6" s="1"/>
  <c r="F16" i="6" s="1"/>
  <c r="D25" i="6"/>
  <c r="E25" i="6" s="1"/>
  <c r="F25" i="6" s="1"/>
  <c r="D17" i="6"/>
  <c r="E17" i="6" s="1"/>
  <c r="F17" i="6" s="1"/>
  <c r="D20" i="6"/>
  <c r="E20" i="6" s="1"/>
  <c r="D23" i="6"/>
  <c r="E23" i="6" s="1"/>
  <c r="F23" i="6" s="1"/>
  <c r="D24" i="6"/>
  <c r="E24" i="6" s="1"/>
  <c r="D26" i="6"/>
  <c r="E26" i="6" s="1"/>
  <c r="F26" i="6" s="1"/>
  <c r="D18" i="6"/>
  <c r="E18" i="6" s="1"/>
  <c r="F18" i="6" s="1"/>
  <c r="D21" i="6"/>
  <c r="E21" i="6" s="1"/>
  <c r="F21" i="6" s="1"/>
  <c r="D15" i="6"/>
  <c r="E15" i="6" s="1"/>
  <c r="F15" i="6" s="1"/>
  <c r="G15" i="6" s="1"/>
  <c r="H15" i="6" s="1"/>
  <c r="F100" i="6"/>
  <c r="F108" i="6"/>
  <c r="F116" i="6"/>
  <c r="F10" i="6"/>
  <c r="F24" i="6"/>
  <c r="F103" i="6"/>
  <c r="F111" i="6"/>
  <c r="F106" i="6"/>
  <c r="F114" i="6"/>
  <c r="F5" i="6"/>
  <c r="F7" i="6"/>
  <c r="F12" i="6"/>
  <c r="F101" i="6"/>
  <c r="F109" i="6"/>
  <c r="F117" i="6"/>
  <c r="F104" i="6"/>
  <c r="F112" i="6"/>
  <c r="F14" i="6"/>
  <c r="F20" i="6"/>
  <c r="F107" i="6"/>
  <c r="F115" i="6"/>
  <c r="F102" i="6"/>
  <c r="F110" i="6"/>
  <c r="F115" i="5"/>
  <c r="D21" i="5"/>
  <c r="E21" i="5" s="1"/>
  <c r="F21" i="5" s="1"/>
  <c r="D15" i="5"/>
  <c r="E15" i="5" s="1"/>
  <c r="F15" i="5" s="1"/>
  <c r="G15" i="5" s="1"/>
  <c r="H15" i="5" s="1"/>
  <c r="D24" i="5"/>
  <c r="E24" i="5" s="1"/>
  <c r="F24" i="5" s="1"/>
  <c r="D16" i="5"/>
  <c r="E16" i="5" s="1"/>
  <c r="F16" i="5" s="1"/>
  <c r="D26" i="5"/>
  <c r="E26" i="5" s="1"/>
  <c r="F26" i="5" s="1"/>
  <c r="D22" i="5"/>
  <c r="E22" i="5" s="1"/>
  <c r="D20" i="5"/>
  <c r="E20" i="5" s="1"/>
  <c r="F20" i="5" s="1"/>
  <c r="D18" i="5"/>
  <c r="E18" i="5" s="1"/>
  <c r="F18" i="5" s="1"/>
  <c r="B16" i="5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D19" i="5"/>
  <c r="E19" i="5" s="1"/>
  <c r="F19" i="5" s="1"/>
  <c r="D17" i="5"/>
  <c r="E17" i="5" s="1"/>
  <c r="F17" i="5" s="1"/>
  <c r="D25" i="5"/>
  <c r="E25" i="5" s="1"/>
  <c r="D23" i="5"/>
  <c r="E23" i="5" s="1"/>
  <c r="F23" i="5" s="1"/>
  <c r="F25" i="5"/>
  <c r="F111" i="5"/>
  <c r="F116" i="5"/>
  <c r="F108" i="5"/>
  <c r="F100" i="5"/>
  <c r="F13" i="5"/>
  <c r="F113" i="5"/>
  <c r="F105" i="5"/>
  <c r="F22" i="5"/>
  <c r="F8" i="5"/>
  <c r="F6" i="5"/>
  <c r="F4" i="5"/>
  <c r="F119" i="5"/>
  <c r="F110" i="5"/>
  <c r="F102" i="5"/>
  <c r="F112" i="5"/>
  <c r="F119" i="3"/>
  <c r="F11" i="3"/>
  <c r="F3" i="3"/>
  <c r="F8" i="3"/>
  <c r="F14" i="3"/>
  <c r="F105" i="3"/>
  <c r="F4" i="3"/>
  <c r="F10" i="3"/>
  <c r="F113" i="3"/>
  <c r="F9" i="3"/>
  <c r="F6" i="3"/>
  <c r="D21" i="4"/>
  <c r="E21" i="4" s="1"/>
  <c r="D23" i="4"/>
  <c r="E23" i="4" s="1"/>
  <c r="D15" i="4"/>
  <c r="E15" i="4" s="1"/>
  <c r="D18" i="4"/>
  <c r="E18" i="4" s="1"/>
  <c r="F18" i="4" s="1"/>
  <c r="D26" i="4"/>
  <c r="E26" i="4" s="1"/>
  <c r="D25" i="4"/>
  <c r="E25" i="4" s="1"/>
  <c r="F25" i="4" s="1"/>
  <c r="D17" i="4"/>
  <c r="E17" i="4" s="1"/>
  <c r="F17" i="4" s="1"/>
  <c r="D20" i="4"/>
  <c r="E20" i="4" s="1"/>
  <c r="F20" i="4" s="1"/>
  <c r="D16" i="4"/>
  <c r="E16" i="4" s="1"/>
  <c r="D19" i="4"/>
  <c r="E19" i="4" s="1"/>
  <c r="B16" i="4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D22" i="4"/>
  <c r="E22" i="4" s="1"/>
  <c r="D24" i="4"/>
  <c r="E24" i="4" s="1"/>
  <c r="F24" i="4" s="1"/>
  <c r="F111" i="4"/>
  <c r="F119" i="4"/>
  <c r="F110" i="4"/>
  <c r="F102" i="4"/>
  <c r="F26" i="4"/>
  <c r="F117" i="4"/>
  <c r="F11" i="4"/>
  <c r="F115" i="4"/>
  <c r="F107" i="4"/>
  <c r="F21" i="4"/>
  <c r="F13" i="4"/>
  <c r="F16" i="4"/>
  <c r="F6" i="4"/>
  <c r="F19" i="4"/>
  <c r="F114" i="4"/>
  <c r="F112" i="4"/>
  <c r="F104" i="4"/>
  <c r="F113" i="4"/>
  <c r="F105" i="4"/>
  <c r="F23" i="4"/>
  <c r="F15" i="4"/>
  <c r="F3" i="4"/>
  <c r="F10" i="4"/>
  <c r="F8" i="4"/>
  <c r="F4" i="4"/>
  <c r="F109" i="4"/>
  <c r="F101" i="4"/>
  <c r="F106" i="4"/>
  <c r="F7" i="4"/>
  <c r="F22" i="4"/>
  <c r="D19" i="3"/>
  <c r="E19" i="3" s="1"/>
  <c r="F19" i="3" s="1"/>
  <c r="B16" i="3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D22" i="3"/>
  <c r="E22" i="3" s="1"/>
  <c r="F22" i="3" s="1"/>
  <c r="D25" i="3"/>
  <c r="E25" i="3" s="1"/>
  <c r="F25" i="3" s="1"/>
  <c r="D17" i="3"/>
  <c r="E17" i="3" s="1"/>
  <c r="F17" i="3" s="1"/>
  <c r="D20" i="3"/>
  <c r="E20" i="3" s="1"/>
  <c r="F20" i="3" s="1"/>
  <c r="D23" i="3"/>
  <c r="E23" i="3" s="1"/>
  <c r="F23" i="3" s="1"/>
  <c r="D26" i="3"/>
  <c r="E26" i="3" s="1"/>
  <c r="F26" i="3" s="1"/>
  <c r="D18" i="3"/>
  <c r="E18" i="3" s="1"/>
  <c r="F18" i="3" s="1"/>
  <c r="D21" i="3"/>
  <c r="E21" i="3" s="1"/>
  <c r="F21" i="3" s="1"/>
  <c r="D15" i="3"/>
  <c r="E15" i="3" s="1"/>
  <c r="F15" i="3" s="1"/>
  <c r="G15" i="3" s="1"/>
  <c r="D16" i="3"/>
  <c r="E16" i="3" s="1"/>
  <c r="F16" i="3" s="1"/>
  <c r="D24" i="3"/>
  <c r="E24" i="3" s="1"/>
  <c r="F24" i="3" s="1"/>
  <c r="F13" i="3"/>
  <c r="F100" i="3"/>
  <c r="F108" i="3"/>
  <c r="F116" i="3"/>
  <c r="F103" i="3"/>
  <c r="F111" i="3"/>
  <c r="F106" i="3"/>
  <c r="F114" i="3"/>
  <c r="F5" i="3"/>
  <c r="F7" i="3"/>
  <c r="F12" i="3"/>
  <c r="F101" i="3"/>
  <c r="F109" i="3"/>
  <c r="F117" i="3"/>
  <c r="F104" i="3"/>
  <c r="F112" i="3"/>
  <c r="F107" i="3"/>
  <c r="F115" i="3"/>
  <c r="F102" i="3"/>
  <c r="F110" i="3"/>
  <c r="F14" i="1"/>
  <c r="G14" i="1" s="1"/>
  <c r="H14" i="1" s="1"/>
  <c r="F104" i="1"/>
  <c r="F112" i="1"/>
  <c r="F108" i="1"/>
  <c r="F100" i="1"/>
  <c r="F106" i="1"/>
  <c r="F102" i="1"/>
  <c r="F3" i="1"/>
  <c r="G3" i="1" s="1"/>
  <c r="H3" i="1" s="1"/>
  <c r="F13" i="1"/>
  <c r="F7" i="1"/>
  <c r="G7" i="1" s="1"/>
  <c r="H7" i="1" s="1"/>
  <c r="D22" i="1"/>
  <c r="D24" i="1"/>
  <c r="D16" i="1"/>
  <c r="D26" i="1"/>
  <c r="D18" i="1"/>
  <c r="D19" i="1"/>
  <c r="D17" i="1"/>
  <c r="D23" i="1"/>
  <c r="D25" i="1"/>
  <c r="D20" i="1"/>
  <c r="D15" i="1"/>
  <c r="B16" i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D21" i="1"/>
  <c r="E11" i="1"/>
  <c r="F11" i="1" s="1"/>
  <c r="G11" i="1" s="1"/>
  <c r="H11" i="1" s="1"/>
  <c r="E6" i="1"/>
  <c r="F6" i="1" s="1"/>
  <c r="G6" i="1" s="1"/>
  <c r="H6" i="1" s="1"/>
  <c r="G13" i="1"/>
  <c r="H13" i="1" s="1"/>
  <c r="E9" i="1"/>
  <c r="F9" i="1" s="1"/>
  <c r="G9" i="1" s="1"/>
  <c r="H9" i="1" s="1"/>
  <c r="E12" i="1"/>
  <c r="F12" i="1" s="1"/>
  <c r="G12" i="1" s="1"/>
  <c r="H12" i="1" s="1"/>
  <c r="F105" i="1"/>
  <c r="F113" i="1"/>
  <c r="F116" i="1"/>
  <c r="F5" i="1"/>
  <c r="G5" i="1" s="1"/>
  <c r="H5" i="1" s="1"/>
  <c r="F10" i="1"/>
  <c r="G10" i="1" s="1"/>
  <c r="H10" i="1" s="1"/>
  <c r="F103" i="1"/>
  <c r="F111" i="1"/>
  <c r="F114" i="1"/>
  <c r="F4" i="1"/>
  <c r="G4" i="1" s="1"/>
  <c r="H4" i="1" s="1"/>
  <c r="F8" i="1"/>
  <c r="G8" i="1" s="1"/>
  <c r="H8" i="1" s="1"/>
  <c r="F101" i="1"/>
  <c r="F109" i="1"/>
  <c r="F117" i="1"/>
  <c r="F107" i="1"/>
  <c r="F115" i="1"/>
  <c r="F110" i="1"/>
  <c r="D33" i="6" l="1"/>
  <c r="E33" i="6" s="1"/>
  <c r="F33" i="6" s="1"/>
  <c r="D27" i="6"/>
  <c r="E27" i="6" s="1"/>
  <c r="F27" i="6" s="1"/>
  <c r="G27" i="6" s="1"/>
  <c r="H27" i="6" s="1"/>
  <c r="D36" i="6"/>
  <c r="E36" i="6" s="1"/>
  <c r="F36" i="6" s="1"/>
  <c r="D28" i="6"/>
  <c r="E28" i="6" s="1"/>
  <c r="F28" i="6" s="1"/>
  <c r="D30" i="6"/>
  <c r="E30" i="6" s="1"/>
  <c r="F30" i="6" s="1"/>
  <c r="D31" i="6"/>
  <c r="E31" i="6" s="1"/>
  <c r="F31" i="6" s="1"/>
  <c r="B28" i="6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D34" i="6"/>
  <c r="E34" i="6" s="1"/>
  <c r="F34" i="6" s="1"/>
  <c r="D29" i="6"/>
  <c r="E29" i="6" s="1"/>
  <c r="F29" i="6" s="1"/>
  <c r="D37" i="6"/>
  <c r="E37" i="6" s="1"/>
  <c r="F37" i="6" s="1"/>
  <c r="D32" i="6"/>
  <c r="E32" i="6" s="1"/>
  <c r="F32" i="6" s="1"/>
  <c r="D38" i="6"/>
  <c r="E38" i="6" s="1"/>
  <c r="F38" i="6" s="1"/>
  <c r="D35" i="6"/>
  <c r="E35" i="6" s="1"/>
  <c r="F35" i="6" s="1"/>
  <c r="D35" i="5"/>
  <c r="E35" i="5" s="1"/>
  <c r="F35" i="5" s="1"/>
  <c r="D38" i="5"/>
  <c r="E38" i="5" s="1"/>
  <c r="F38" i="5" s="1"/>
  <c r="D30" i="5"/>
  <c r="E30" i="5" s="1"/>
  <c r="F30" i="5" s="1"/>
  <c r="D28" i="5"/>
  <c r="E28" i="5" s="1"/>
  <c r="F28" i="5" s="1"/>
  <c r="B28" i="5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D36" i="5"/>
  <c r="E36" i="5" s="1"/>
  <c r="F36" i="5" s="1"/>
  <c r="D34" i="5"/>
  <c r="E34" i="5" s="1"/>
  <c r="F34" i="5" s="1"/>
  <c r="D32" i="5"/>
  <c r="E32" i="5" s="1"/>
  <c r="F32" i="5" s="1"/>
  <c r="D33" i="5"/>
  <c r="E33" i="5" s="1"/>
  <c r="F33" i="5" s="1"/>
  <c r="D29" i="5"/>
  <c r="E29" i="5" s="1"/>
  <c r="F29" i="5" s="1"/>
  <c r="D31" i="5"/>
  <c r="E31" i="5" s="1"/>
  <c r="F31" i="5" s="1"/>
  <c r="D27" i="5"/>
  <c r="E27" i="5" s="1"/>
  <c r="F27" i="5" s="1"/>
  <c r="G27" i="5" s="1"/>
  <c r="H27" i="5" s="1"/>
  <c r="D37" i="5"/>
  <c r="E37" i="5" s="1"/>
  <c r="F37" i="5" s="1"/>
  <c r="D36" i="4"/>
  <c r="E36" i="4" s="1"/>
  <c r="F36" i="4" s="1"/>
  <c r="D28" i="4"/>
  <c r="E28" i="4" s="1"/>
  <c r="F28" i="4" s="1"/>
  <c r="D31" i="4"/>
  <c r="E31" i="4" s="1"/>
  <c r="F31" i="4" s="1"/>
  <c r="B28" i="4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D34" i="4"/>
  <c r="E34" i="4" s="1"/>
  <c r="F34" i="4" s="1"/>
  <c r="D33" i="4"/>
  <c r="E33" i="4" s="1"/>
  <c r="F33" i="4" s="1"/>
  <c r="D37" i="4"/>
  <c r="E37" i="4" s="1"/>
  <c r="F37" i="4" s="1"/>
  <c r="D29" i="4"/>
  <c r="E29" i="4" s="1"/>
  <c r="F29" i="4" s="1"/>
  <c r="D32" i="4"/>
  <c r="E32" i="4" s="1"/>
  <c r="F32" i="4" s="1"/>
  <c r="D35" i="4"/>
  <c r="E35" i="4" s="1"/>
  <c r="F35" i="4" s="1"/>
  <c r="D38" i="4"/>
  <c r="E38" i="4" s="1"/>
  <c r="F38" i="4" s="1"/>
  <c r="D27" i="4"/>
  <c r="E27" i="4" s="1"/>
  <c r="F27" i="4" s="1"/>
  <c r="D30" i="4"/>
  <c r="E30" i="4" s="1"/>
  <c r="F30" i="4" s="1"/>
  <c r="D33" i="3"/>
  <c r="E33" i="3" s="1"/>
  <c r="F33" i="3" s="1"/>
  <c r="D27" i="3"/>
  <c r="E27" i="3" s="1"/>
  <c r="F27" i="3" s="1"/>
  <c r="G27" i="3" s="1"/>
  <c r="D36" i="3"/>
  <c r="E36" i="3" s="1"/>
  <c r="F36" i="3" s="1"/>
  <c r="D28" i="3"/>
  <c r="E28" i="3" s="1"/>
  <c r="F28" i="3" s="1"/>
  <c r="D31" i="3"/>
  <c r="E31" i="3" s="1"/>
  <c r="F31" i="3" s="1"/>
  <c r="B28" i="3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D34" i="3"/>
  <c r="E34" i="3" s="1"/>
  <c r="F34" i="3" s="1"/>
  <c r="D37" i="3"/>
  <c r="E37" i="3" s="1"/>
  <c r="F37" i="3" s="1"/>
  <c r="D29" i="3"/>
  <c r="E29" i="3" s="1"/>
  <c r="F29" i="3" s="1"/>
  <c r="D32" i="3"/>
  <c r="E32" i="3" s="1"/>
  <c r="F32" i="3" s="1"/>
  <c r="D35" i="3"/>
  <c r="E35" i="3" s="1"/>
  <c r="F35" i="3" s="1"/>
  <c r="D38" i="3"/>
  <c r="E38" i="3" s="1"/>
  <c r="F38" i="3" s="1"/>
  <c r="D30" i="3"/>
  <c r="E30" i="3" s="1"/>
  <c r="F30" i="3" s="1"/>
  <c r="E19" i="1"/>
  <c r="F19" i="1" s="1"/>
  <c r="G19" i="1" s="1"/>
  <c r="H19" i="1" s="1"/>
  <c r="E21" i="1"/>
  <c r="F21" i="1" s="1"/>
  <c r="G21" i="1" s="1"/>
  <c r="H21" i="1" s="1"/>
  <c r="E18" i="1"/>
  <c r="F18" i="1" s="1"/>
  <c r="G18" i="1" s="1"/>
  <c r="H18" i="1" s="1"/>
  <c r="E15" i="1"/>
  <c r="F15" i="1" s="1"/>
  <c r="G15" i="1" s="1"/>
  <c r="H15" i="1" s="1"/>
  <c r="E20" i="1"/>
  <c r="F20" i="1" s="1"/>
  <c r="G20" i="1" s="1"/>
  <c r="H20" i="1" s="1"/>
  <c r="E24" i="1"/>
  <c r="F24" i="1" s="1"/>
  <c r="G24" i="1" s="1"/>
  <c r="H24" i="1" s="1"/>
  <c r="E26" i="1"/>
  <c r="F26" i="1" s="1"/>
  <c r="G26" i="1" s="1"/>
  <c r="H26" i="1" s="1"/>
  <c r="E16" i="1"/>
  <c r="F16" i="1" s="1"/>
  <c r="G16" i="1" s="1"/>
  <c r="H16" i="1" s="1"/>
  <c r="E25" i="1"/>
  <c r="F25" i="1" s="1"/>
  <c r="G25" i="1" s="1"/>
  <c r="H25" i="1" s="1"/>
  <c r="E22" i="1"/>
  <c r="F22" i="1" s="1"/>
  <c r="G22" i="1" s="1"/>
  <c r="H22" i="1" s="1"/>
  <c r="E23" i="1"/>
  <c r="F23" i="1" s="1"/>
  <c r="G23" i="1"/>
  <c r="H23" i="1" s="1"/>
  <c r="D38" i="1"/>
  <c r="D30" i="1"/>
  <c r="D32" i="1"/>
  <c r="D34" i="1"/>
  <c r="D29" i="1"/>
  <c r="D27" i="1"/>
  <c r="D33" i="1"/>
  <c r="D28" i="1"/>
  <c r="D37" i="1"/>
  <c r="D35" i="1"/>
  <c r="B28" i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D36" i="1"/>
  <c r="D31" i="1"/>
  <c r="E17" i="1"/>
  <c r="F17" i="1" s="1"/>
  <c r="G17" i="1" s="1"/>
  <c r="H17" i="1" s="1"/>
  <c r="D49" i="6" l="1"/>
  <c r="E49" i="6" s="1"/>
  <c r="F49" i="6" s="1"/>
  <c r="D47" i="6"/>
  <c r="E47" i="6" s="1"/>
  <c r="F47" i="6" s="1"/>
  <c r="D42" i="6"/>
  <c r="E42" i="6" s="1"/>
  <c r="F42" i="6" s="1"/>
  <c r="B40" i="6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D45" i="6"/>
  <c r="E45" i="6" s="1"/>
  <c r="F45" i="6" s="1"/>
  <c r="D39" i="6"/>
  <c r="E39" i="6" s="1"/>
  <c r="F39" i="6" s="1"/>
  <c r="G39" i="6" s="1"/>
  <c r="H39" i="6" s="1"/>
  <c r="D40" i="6"/>
  <c r="E40" i="6" s="1"/>
  <c r="F40" i="6" s="1"/>
  <c r="D43" i="6"/>
  <c r="E43" i="6" s="1"/>
  <c r="F43" i="6" s="1"/>
  <c r="D50" i="6"/>
  <c r="E50" i="6" s="1"/>
  <c r="F50" i="6" s="1"/>
  <c r="D48" i="6"/>
  <c r="E48" i="6" s="1"/>
  <c r="F48" i="6" s="1"/>
  <c r="D46" i="6"/>
  <c r="E46" i="6" s="1"/>
  <c r="F46" i="6" s="1"/>
  <c r="D44" i="6"/>
  <c r="E44" i="6" s="1"/>
  <c r="F44" i="6" s="1"/>
  <c r="D41" i="6"/>
  <c r="E41" i="6" s="1"/>
  <c r="F41" i="6" s="1"/>
  <c r="D43" i="5"/>
  <c r="E43" i="5" s="1"/>
  <c r="F43" i="5" s="1"/>
  <c r="B40" i="5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D41" i="5"/>
  <c r="E41" i="5" s="1"/>
  <c r="F41" i="5" s="1"/>
  <c r="D50" i="5"/>
  <c r="E50" i="5" s="1"/>
  <c r="F50" i="5" s="1"/>
  <c r="D48" i="5"/>
  <c r="E48" i="5" s="1"/>
  <c r="F48" i="5" s="1"/>
  <c r="D46" i="5"/>
  <c r="E46" i="5" s="1"/>
  <c r="F46" i="5" s="1"/>
  <c r="D45" i="5"/>
  <c r="E45" i="5" s="1"/>
  <c r="F45" i="5" s="1"/>
  <c r="D47" i="5"/>
  <c r="E47" i="5" s="1"/>
  <c r="F47" i="5" s="1"/>
  <c r="D40" i="5"/>
  <c r="E40" i="5" s="1"/>
  <c r="F40" i="5" s="1"/>
  <c r="D44" i="5"/>
  <c r="E44" i="5" s="1"/>
  <c r="F44" i="5" s="1"/>
  <c r="D42" i="5"/>
  <c r="E42" i="5" s="1"/>
  <c r="F42" i="5" s="1"/>
  <c r="D49" i="5"/>
  <c r="E49" i="5" s="1"/>
  <c r="F49" i="5" s="1"/>
  <c r="D39" i="5"/>
  <c r="E39" i="5" s="1"/>
  <c r="F39" i="5" s="1"/>
  <c r="D44" i="4"/>
  <c r="E44" i="4" s="1"/>
  <c r="F44" i="4" s="1"/>
  <c r="D49" i="4"/>
  <c r="E49" i="4" s="1"/>
  <c r="F49" i="4" s="1"/>
  <c r="D39" i="4"/>
  <c r="E39" i="4" s="1"/>
  <c r="F39" i="4" s="1"/>
  <c r="D47" i="4"/>
  <c r="E47" i="4" s="1"/>
  <c r="F47" i="4" s="1"/>
  <c r="D42" i="4"/>
  <c r="E42" i="4" s="1"/>
  <c r="F42" i="4" s="1"/>
  <c r="D50" i="4"/>
  <c r="E50" i="4" s="1"/>
  <c r="F50" i="4" s="1"/>
  <c r="D48" i="4"/>
  <c r="E48" i="4" s="1"/>
  <c r="F48" i="4" s="1"/>
  <c r="D46" i="4"/>
  <c r="E46" i="4" s="1"/>
  <c r="F46" i="4" s="1"/>
  <c r="D41" i="4"/>
  <c r="E41" i="4" s="1"/>
  <c r="F41" i="4" s="1"/>
  <c r="D45" i="4"/>
  <c r="E45" i="4" s="1"/>
  <c r="F45" i="4" s="1"/>
  <c r="D40" i="4"/>
  <c r="E40" i="4" s="1"/>
  <c r="F40" i="4" s="1"/>
  <c r="D43" i="4"/>
  <c r="E43" i="4" s="1"/>
  <c r="F43" i="4" s="1"/>
  <c r="B40" i="4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D49" i="3"/>
  <c r="E49" i="3" s="1"/>
  <c r="F49" i="3" s="1"/>
  <c r="D47" i="3"/>
  <c r="E47" i="3" s="1"/>
  <c r="F47" i="3" s="1"/>
  <c r="D42" i="3"/>
  <c r="E42" i="3" s="1"/>
  <c r="F42" i="3" s="1"/>
  <c r="D45" i="3"/>
  <c r="E45" i="3" s="1"/>
  <c r="F45" i="3" s="1"/>
  <c r="D39" i="3"/>
  <c r="E39" i="3" s="1"/>
  <c r="F39" i="3" s="1"/>
  <c r="G39" i="3" s="1"/>
  <c r="D40" i="3"/>
  <c r="E40" i="3" s="1"/>
  <c r="F40" i="3" s="1"/>
  <c r="D43" i="3"/>
  <c r="E43" i="3" s="1"/>
  <c r="F43" i="3" s="1"/>
  <c r="B40" i="3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D50" i="3"/>
  <c r="E50" i="3" s="1"/>
  <c r="F50" i="3" s="1"/>
  <c r="D48" i="3"/>
  <c r="E48" i="3" s="1"/>
  <c r="F48" i="3" s="1"/>
  <c r="D46" i="3"/>
  <c r="E46" i="3" s="1"/>
  <c r="F46" i="3" s="1"/>
  <c r="D41" i="3"/>
  <c r="E41" i="3" s="1"/>
  <c r="F41" i="3" s="1"/>
  <c r="D44" i="3"/>
  <c r="E44" i="3" s="1"/>
  <c r="F44" i="3" s="1"/>
  <c r="E32" i="1"/>
  <c r="F32" i="1" s="1"/>
  <c r="G32" i="1" s="1"/>
  <c r="H32" i="1" s="1"/>
  <c r="E35" i="1"/>
  <c r="F35" i="1" s="1"/>
  <c r="G35" i="1" s="1"/>
  <c r="H35" i="1" s="1"/>
  <c r="E30" i="1"/>
  <c r="F30" i="1" s="1"/>
  <c r="G30" i="1" s="1"/>
  <c r="H30" i="1" s="1"/>
  <c r="E37" i="1"/>
  <c r="F37" i="1" s="1"/>
  <c r="G37" i="1" s="1"/>
  <c r="H37" i="1" s="1"/>
  <c r="E38" i="1"/>
  <c r="F38" i="1" s="1"/>
  <c r="G38" i="1" s="1"/>
  <c r="H38" i="1" s="1"/>
  <c r="D49" i="1"/>
  <c r="E49" i="1" s="1"/>
  <c r="F49" i="1" s="1"/>
  <c r="D47" i="1"/>
  <c r="E47" i="1" s="1"/>
  <c r="F47" i="1" s="1"/>
  <c r="D42" i="1"/>
  <c r="E42" i="1" s="1"/>
  <c r="F42" i="1" s="1"/>
  <c r="D40" i="1"/>
  <c r="E40" i="1" s="1"/>
  <c r="F40" i="1" s="1"/>
  <c r="D50" i="1"/>
  <c r="E50" i="1" s="1"/>
  <c r="F50" i="1" s="1"/>
  <c r="D48" i="1"/>
  <c r="E48" i="1" s="1"/>
  <c r="F48" i="1" s="1"/>
  <c r="D46" i="1"/>
  <c r="E46" i="1" s="1"/>
  <c r="F46" i="1" s="1"/>
  <c r="D41" i="1"/>
  <c r="E41" i="1" s="1"/>
  <c r="F41" i="1" s="1"/>
  <c r="D43" i="1"/>
  <c r="E43" i="1" s="1"/>
  <c r="F43" i="1" s="1"/>
  <c r="D39" i="1"/>
  <c r="D45" i="1"/>
  <c r="E45" i="1" s="1"/>
  <c r="F45" i="1" s="1"/>
  <c r="D44" i="1"/>
  <c r="E44" i="1" s="1"/>
  <c r="F44" i="1" s="1"/>
  <c r="B40" i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E28" i="1"/>
  <c r="F28" i="1" s="1"/>
  <c r="G28" i="1" s="1"/>
  <c r="H28" i="1" s="1"/>
  <c r="E27" i="1"/>
  <c r="F27" i="1" s="1"/>
  <c r="G27" i="1" s="1"/>
  <c r="H27" i="1" s="1"/>
  <c r="E33" i="1"/>
  <c r="F33" i="1" s="1"/>
  <c r="G33" i="1" s="1"/>
  <c r="H33" i="1" s="1"/>
  <c r="E31" i="1"/>
  <c r="F31" i="1" s="1"/>
  <c r="G31" i="1" s="1"/>
  <c r="H31" i="1" s="1"/>
  <c r="E29" i="1"/>
  <c r="F29" i="1" s="1"/>
  <c r="G29" i="1" s="1"/>
  <c r="H29" i="1" s="1"/>
  <c r="E36" i="1"/>
  <c r="F36" i="1" s="1"/>
  <c r="G36" i="1" s="1"/>
  <c r="H36" i="1" s="1"/>
  <c r="E34" i="1"/>
  <c r="F34" i="1" s="1"/>
  <c r="G34" i="1" s="1"/>
  <c r="H34" i="1" s="1"/>
  <c r="D51" i="6" l="1"/>
  <c r="E51" i="6" s="1"/>
  <c r="F51" i="6" s="1"/>
  <c r="G51" i="6" s="1"/>
  <c r="H51" i="6" s="1"/>
  <c r="D57" i="6"/>
  <c r="E57" i="6" s="1"/>
  <c r="F57" i="6" s="1"/>
  <c r="D62" i="6"/>
  <c r="E62" i="6" s="1"/>
  <c r="F62" i="6" s="1"/>
  <c r="D60" i="6"/>
  <c r="E60" i="6" s="1"/>
  <c r="F60" i="6" s="1"/>
  <c r="D58" i="6"/>
  <c r="E58" i="6" s="1"/>
  <c r="F58" i="6" s="1"/>
  <c r="D56" i="6"/>
  <c r="E56" i="6" s="1"/>
  <c r="F56" i="6" s="1"/>
  <c r="D54" i="6"/>
  <c r="E54" i="6" s="1"/>
  <c r="F54" i="6" s="1"/>
  <c r="D52" i="6"/>
  <c r="E52" i="6" s="1"/>
  <c r="F52" i="6" s="1"/>
  <c r="D55" i="6"/>
  <c r="E55" i="6" s="1"/>
  <c r="F55" i="6" s="1"/>
  <c r="B52" i="6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D59" i="6"/>
  <c r="E59" i="6" s="1"/>
  <c r="F59" i="6" s="1"/>
  <c r="D61" i="6"/>
  <c r="E61" i="6" s="1"/>
  <c r="F61" i="6" s="1"/>
  <c r="D53" i="6"/>
  <c r="E53" i="6" s="1"/>
  <c r="F53" i="6" s="1"/>
  <c r="B52" i="5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D62" i="5"/>
  <c r="E62" i="5" s="1"/>
  <c r="F62" i="5" s="1"/>
  <c r="D60" i="5"/>
  <c r="E60" i="5" s="1"/>
  <c r="F60" i="5" s="1"/>
  <c r="D58" i="5"/>
  <c r="E58" i="5" s="1"/>
  <c r="F58" i="5" s="1"/>
  <c r="D56" i="5"/>
  <c r="E56" i="5" s="1"/>
  <c r="F56" i="5" s="1"/>
  <c r="D54" i="5"/>
  <c r="E54" i="5" s="1"/>
  <c r="F54" i="5" s="1"/>
  <c r="D52" i="5"/>
  <c r="E52" i="5" s="1"/>
  <c r="F52" i="5" s="1"/>
  <c r="D55" i="5"/>
  <c r="E55" i="5" s="1"/>
  <c r="F55" i="5" s="1"/>
  <c r="D61" i="5"/>
  <c r="E61" i="5" s="1"/>
  <c r="F61" i="5" s="1"/>
  <c r="D51" i="5"/>
  <c r="E51" i="5" s="1"/>
  <c r="F51" i="5" s="1"/>
  <c r="D59" i="5"/>
  <c r="E59" i="5" s="1"/>
  <c r="F59" i="5" s="1"/>
  <c r="D57" i="5"/>
  <c r="E57" i="5" s="1"/>
  <c r="F57" i="5" s="1"/>
  <c r="D53" i="5"/>
  <c r="E53" i="5" s="1"/>
  <c r="F53" i="5" s="1"/>
  <c r="B52" i="4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D59" i="4"/>
  <c r="E59" i="4" s="1"/>
  <c r="F59" i="4" s="1"/>
  <c r="D53" i="4"/>
  <c r="E53" i="4" s="1"/>
  <c r="F53" i="4" s="1"/>
  <c r="D55" i="4"/>
  <c r="E55" i="4" s="1"/>
  <c r="F55" i="4" s="1"/>
  <c r="D62" i="4"/>
  <c r="E62" i="4" s="1"/>
  <c r="F62" i="4" s="1"/>
  <c r="D60" i="4"/>
  <c r="E60" i="4" s="1"/>
  <c r="F60" i="4" s="1"/>
  <c r="D58" i="4"/>
  <c r="E58" i="4" s="1"/>
  <c r="F58" i="4" s="1"/>
  <c r="D56" i="4"/>
  <c r="E56" i="4" s="1"/>
  <c r="F56" i="4" s="1"/>
  <c r="D54" i="4"/>
  <c r="E54" i="4" s="1"/>
  <c r="F54" i="4" s="1"/>
  <c r="D52" i="4"/>
  <c r="E52" i="4" s="1"/>
  <c r="F52" i="4" s="1"/>
  <c r="D61" i="4"/>
  <c r="E61" i="4" s="1"/>
  <c r="F61" i="4" s="1"/>
  <c r="D57" i="4"/>
  <c r="E57" i="4" s="1"/>
  <c r="F57" i="4" s="1"/>
  <c r="D51" i="4"/>
  <c r="E51" i="4" s="1"/>
  <c r="F51" i="4" s="1"/>
  <c r="D51" i="3"/>
  <c r="E51" i="3" s="1"/>
  <c r="F51" i="3" s="1"/>
  <c r="G51" i="3" s="1"/>
  <c r="D62" i="3"/>
  <c r="E62" i="3" s="1"/>
  <c r="F62" i="3" s="1"/>
  <c r="D60" i="3"/>
  <c r="E60" i="3" s="1"/>
  <c r="F60" i="3" s="1"/>
  <c r="D58" i="3"/>
  <c r="E58" i="3" s="1"/>
  <c r="F58" i="3" s="1"/>
  <c r="D56" i="3"/>
  <c r="E56" i="3" s="1"/>
  <c r="F56" i="3" s="1"/>
  <c r="D54" i="3"/>
  <c r="E54" i="3" s="1"/>
  <c r="F54" i="3" s="1"/>
  <c r="D52" i="3"/>
  <c r="E52" i="3" s="1"/>
  <c r="F52" i="3" s="1"/>
  <c r="B52" i="3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D61" i="3"/>
  <c r="E61" i="3" s="1"/>
  <c r="F61" i="3" s="1"/>
  <c r="D59" i="3"/>
  <c r="E59" i="3" s="1"/>
  <c r="F59" i="3" s="1"/>
  <c r="D53" i="3"/>
  <c r="E53" i="3" s="1"/>
  <c r="F53" i="3" s="1"/>
  <c r="D57" i="3"/>
  <c r="E57" i="3" s="1"/>
  <c r="F57" i="3" s="1"/>
  <c r="D55" i="3"/>
  <c r="E55" i="3" s="1"/>
  <c r="F55" i="3" s="1"/>
  <c r="E39" i="1"/>
  <c r="F39" i="1" s="1"/>
  <c r="G39" i="1" s="1"/>
  <c r="H39" i="1" s="1"/>
  <c r="D61" i="1"/>
  <c r="E61" i="1" s="1"/>
  <c r="F61" i="1" s="1"/>
  <c r="D59" i="1"/>
  <c r="E59" i="1" s="1"/>
  <c r="F59" i="1" s="1"/>
  <c r="D57" i="1"/>
  <c r="E57" i="1" s="1"/>
  <c r="F57" i="1" s="1"/>
  <c r="D55" i="1"/>
  <c r="E55" i="1" s="1"/>
  <c r="F55" i="1" s="1"/>
  <c r="D53" i="1"/>
  <c r="E53" i="1" s="1"/>
  <c r="F53" i="1" s="1"/>
  <c r="D51" i="1"/>
  <c r="E51" i="1" s="1"/>
  <c r="F51" i="1" s="1"/>
  <c r="D62" i="1"/>
  <c r="E62" i="1" s="1"/>
  <c r="F62" i="1" s="1"/>
  <c r="D60" i="1"/>
  <c r="E60" i="1" s="1"/>
  <c r="F60" i="1" s="1"/>
  <c r="D58" i="1"/>
  <c r="E58" i="1" s="1"/>
  <c r="F58" i="1" s="1"/>
  <c r="D56" i="1"/>
  <c r="E56" i="1" s="1"/>
  <c r="F56" i="1" s="1"/>
  <c r="D54" i="1"/>
  <c r="E54" i="1" s="1"/>
  <c r="F54" i="1" s="1"/>
  <c r="D52" i="1"/>
  <c r="E52" i="1" s="1"/>
  <c r="F52" i="1" s="1"/>
  <c r="B52" i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D74" i="6" l="1"/>
  <c r="E74" i="6" s="1"/>
  <c r="F74" i="6" s="1"/>
  <c r="D72" i="6"/>
  <c r="E72" i="6" s="1"/>
  <c r="F72" i="6" s="1"/>
  <c r="D70" i="6"/>
  <c r="E70" i="6" s="1"/>
  <c r="F70" i="6" s="1"/>
  <c r="D68" i="6"/>
  <c r="E68" i="6" s="1"/>
  <c r="F68" i="6" s="1"/>
  <c r="D66" i="6"/>
  <c r="E66" i="6" s="1"/>
  <c r="F66" i="6" s="1"/>
  <c r="D64" i="6"/>
  <c r="E64" i="6" s="1"/>
  <c r="F64" i="6" s="1"/>
  <c r="B64" i="6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D63" i="6"/>
  <c r="E63" i="6" s="1"/>
  <c r="F63" i="6" s="1"/>
  <c r="G63" i="6" s="1"/>
  <c r="H63" i="6" s="1"/>
  <c r="D73" i="6"/>
  <c r="E73" i="6" s="1"/>
  <c r="F73" i="6" s="1"/>
  <c r="D71" i="6"/>
  <c r="E71" i="6" s="1"/>
  <c r="F71" i="6" s="1"/>
  <c r="D69" i="6"/>
  <c r="E69" i="6" s="1"/>
  <c r="F69" i="6" s="1"/>
  <c r="D67" i="6"/>
  <c r="E67" i="6" s="1"/>
  <c r="F67" i="6" s="1"/>
  <c r="D65" i="6"/>
  <c r="E65" i="6" s="1"/>
  <c r="F65" i="6" s="1"/>
  <c r="D74" i="5"/>
  <c r="E74" i="5" s="1"/>
  <c r="F74" i="5" s="1"/>
  <c r="D72" i="5"/>
  <c r="E72" i="5" s="1"/>
  <c r="F72" i="5" s="1"/>
  <c r="D70" i="5"/>
  <c r="E70" i="5" s="1"/>
  <c r="F70" i="5" s="1"/>
  <c r="D68" i="5"/>
  <c r="E68" i="5" s="1"/>
  <c r="F68" i="5" s="1"/>
  <c r="D66" i="5"/>
  <c r="E66" i="5" s="1"/>
  <c r="F66" i="5" s="1"/>
  <c r="D64" i="5"/>
  <c r="E64" i="5" s="1"/>
  <c r="F64" i="5" s="1"/>
  <c r="B64" i="5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D71" i="5"/>
  <c r="E71" i="5" s="1"/>
  <c r="F71" i="5" s="1"/>
  <c r="D65" i="5"/>
  <c r="E65" i="5" s="1"/>
  <c r="F65" i="5" s="1"/>
  <c r="D67" i="5"/>
  <c r="E67" i="5" s="1"/>
  <c r="F67" i="5" s="1"/>
  <c r="D63" i="5"/>
  <c r="E63" i="5" s="1"/>
  <c r="F63" i="5" s="1"/>
  <c r="D73" i="5"/>
  <c r="E73" i="5" s="1"/>
  <c r="F73" i="5" s="1"/>
  <c r="D69" i="5"/>
  <c r="E69" i="5" s="1"/>
  <c r="F69" i="5" s="1"/>
  <c r="B64" i="4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D69" i="4"/>
  <c r="E69" i="4" s="1"/>
  <c r="F69" i="4" s="1"/>
  <c r="D65" i="4"/>
  <c r="E65" i="4" s="1"/>
  <c r="F65" i="4" s="1"/>
  <c r="D73" i="4"/>
  <c r="E73" i="4" s="1"/>
  <c r="F73" i="4" s="1"/>
  <c r="D63" i="4"/>
  <c r="E63" i="4" s="1"/>
  <c r="F63" i="4" s="1"/>
  <c r="D74" i="4"/>
  <c r="E74" i="4" s="1"/>
  <c r="F74" i="4" s="1"/>
  <c r="D72" i="4"/>
  <c r="E72" i="4" s="1"/>
  <c r="F72" i="4" s="1"/>
  <c r="D70" i="4"/>
  <c r="E70" i="4" s="1"/>
  <c r="F70" i="4" s="1"/>
  <c r="D68" i="4"/>
  <c r="E68" i="4" s="1"/>
  <c r="F68" i="4" s="1"/>
  <c r="D66" i="4"/>
  <c r="E66" i="4" s="1"/>
  <c r="F66" i="4" s="1"/>
  <c r="D64" i="4"/>
  <c r="E64" i="4" s="1"/>
  <c r="F64" i="4" s="1"/>
  <c r="D71" i="4"/>
  <c r="E71" i="4" s="1"/>
  <c r="F71" i="4" s="1"/>
  <c r="D67" i="4"/>
  <c r="E67" i="4" s="1"/>
  <c r="F67" i="4" s="1"/>
  <c r="D74" i="3"/>
  <c r="E74" i="3" s="1"/>
  <c r="F74" i="3" s="1"/>
  <c r="D72" i="3"/>
  <c r="E72" i="3" s="1"/>
  <c r="F72" i="3" s="1"/>
  <c r="D70" i="3"/>
  <c r="E70" i="3" s="1"/>
  <c r="F70" i="3" s="1"/>
  <c r="D68" i="3"/>
  <c r="E68" i="3" s="1"/>
  <c r="F68" i="3" s="1"/>
  <c r="D66" i="3"/>
  <c r="E66" i="3" s="1"/>
  <c r="F66" i="3" s="1"/>
  <c r="D64" i="3"/>
  <c r="E64" i="3" s="1"/>
  <c r="F64" i="3" s="1"/>
  <c r="B64" i="3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D73" i="3"/>
  <c r="E73" i="3" s="1"/>
  <c r="F73" i="3" s="1"/>
  <c r="D71" i="3"/>
  <c r="E71" i="3" s="1"/>
  <c r="F71" i="3" s="1"/>
  <c r="D69" i="3"/>
  <c r="E69" i="3" s="1"/>
  <c r="F69" i="3" s="1"/>
  <c r="D67" i="3"/>
  <c r="E67" i="3" s="1"/>
  <c r="F67" i="3" s="1"/>
  <c r="D65" i="3"/>
  <c r="E65" i="3" s="1"/>
  <c r="F65" i="3" s="1"/>
  <c r="D63" i="3"/>
  <c r="E63" i="3" s="1"/>
  <c r="F63" i="3" s="1"/>
  <c r="G63" i="3" s="1"/>
  <c r="D73" i="1"/>
  <c r="E73" i="1" s="1"/>
  <c r="F73" i="1" s="1"/>
  <c r="D71" i="1"/>
  <c r="E71" i="1" s="1"/>
  <c r="F71" i="1" s="1"/>
  <c r="D69" i="1"/>
  <c r="E69" i="1" s="1"/>
  <c r="F69" i="1" s="1"/>
  <c r="D67" i="1"/>
  <c r="E67" i="1" s="1"/>
  <c r="F67" i="1" s="1"/>
  <c r="D65" i="1"/>
  <c r="E65" i="1" s="1"/>
  <c r="F65" i="1" s="1"/>
  <c r="D63" i="1"/>
  <c r="E63" i="1" s="1"/>
  <c r="F63" i="1" s="1"/>
  <c r="D74" i="1"/>
  <c r="E74" i="1" s="1"/>
  <c r="F74" i="1" s="1"/>
  <c r="D72" i="1"/>
  <c r="E72" i="1" s="1"/>
  <c r="F72" i="1" s="1"/>
  <c r="D70" i="1"/>
  <c r="E70" i="1" s="1"/>
  <c r="F70" i="1" s="1"/>
  <c r="D68" i="1"/>
  <c r="E68" i="1" s="1"/>
  <c r="F68" i="1" s="1"/>
  <c r="D66" i="1"/>
  <c r="E66" i="1" s="1"/>
  <c r="F66" i="1" s="1"/>
  <c r="D64" i="1"/>
  <c r="E64" i="1" s="1"/>
  <c r="F64" i="1" s="1"/>
  <c r="B64" i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6" l="1"/>
  <c r="D75" i="6"/>
  <c r="E75" i="6" s="1"/>
  <c r="F75" i="6" s="1"/>
  <c r="G75" i="6" s="1"/>
  <c r="H75" i="6" s="1"/>
  <c r="B76" i="5"/>
  <c r="D75" i="5"/>
  <c r="E75" i="5" s="1"/>
  <c r="F75" i="5" s="1"/>
  <c r="B76" i="4"/>
  <c r="D75" i="4"/>
  <c r="E75" i="4" s="1"/>
  <c r="F75" i="4" s="1"/>
  <c r="B76" i="3"/>
  <c r="D75" i="3"/>
  <c r="E75" i="3" s="1"/>
  <c r="F75" i="3" s="1"/>
  <c r="G75" i="3" s="1"/>
  <c r="D75" i="1"/>
  <c r="E75" i="1" s="1"/>
  <c r="F75" i="1" s="1"/>
  <c r="B76" i="1"/>
  <c r="B77" i="6" l="1"/>
  <c r="D76" i="6"/>
  <c r="E76" i="6" s="1"/>
  <c r="F76" i="6" s="1"/>
  <c r="G76" i="6" s="1"/>
  <c r="H76" i="6" s="1"/>
  <c r="D76" i="5"/>
  <c r="E76" i="5" s="1"/>
  <c r="F76" i="5" s="1"/>
  <c r="B77" i="5"/>
  <c r="D76" i="4"/>
  <c r="E76" i="4" s="1"/>
  <c r="F76" i="4" s="1"/>
  <c r="B77" i="4"/>
  <c r="B77" i="3"/>
  <c r="D76" i="3"/>
  <c r="E76" i="3" s="1"/>
  <c r="F76" i="3" s="1"/>
  <c r="G76" i="3" s="1"/>
  <c r="D76" i="1"/>
  <c r="E76" i="1" s="1"/>
  <c r="F76" i="1" s="1"/>
  <c r="B77" i="1"/>
  <c r="D77" i="6" l="1"/>
  <c r="E77" i="6" s="1"/>
  <c r="F77" i="6" s="1"/>
  <c r="G77" i="6" s="1"/>
  <c r="H77" i="6" s="1"/>
  <c r="B78" i="6"/>
  <c r="B78" i="5"/>
  <c r="D77" i="5"/>
  <c r="E77" i="5" s="1"/>
  <c r="F77" i="5" s="1"/>
  <c r="B78" i="4"/>
  <c r="D77" i="4"/>
  <c r="E77" i="4" s="1"/>
  <c r="F77" i="4" s="1"/>
  <c r="D77" i="3"/>
  <c r="E77" i="3" s="1"/>
  <c r="F77" i="3" s="1"/>
  <c r="G77" i="3" s="1"/>
  <c r="B78" i="3"/>
  <c r="D77" i="1"/>
  <c r="E77" i="1" s="1"/>
  <c r="F77" i="1" s="1"/>
  <c r="B78" i="1"/>
  <c r="D78" i="6" l="1"/>
  <c r="E78" i="6" s="1"/>
  <c r="F78" i="6" s="1"/>
  <c r="G78" i="6" s="1"/>
  <c r="H78" i="6" s="1"/>
  <c r="B79" i="6"/>
  <c r="D78" i="5"/>
  <c r="E78" i="5" s="1"/>
  <c r="F78" i="5" s="1"/>
  <c r="B79" i="5"/>
  <c r="D78" i="4"/>
  <c r="E78" i="4" s="1"/>
  <c r="F78" i="4" s="1"/>
  <c r="B79" i="4"/>
  <c r="D78" i="3"/>
  <c r="E78" i="3" s="1"/>
  <c r="F78" i="3" s="1"/>
  <c r="G78" i="3" s="1"/>
  <c r="B79" i="3"/>
  <c r="D78" i="1"/>
  <c r="E78" i="1" s="1"/>
  <c r="F78" i="1" s="1"/>
  <c r="B79" i="1"/>
  <c r="B80" i="6" l="1"/>
  <c r="D79" i="6"/>
  <c r="E79" i="6" s="1"/>
  <c r="F79" i="6" s="1"/>
  <c r="G79" i="6" s="1"/>
  <c r="H79" i="6" s="1"/>
  <c r="B80" i="5"/>
  <c r="D79" i="5"/>
  <c r="E79" i="5" s="1"/>
  <c r="F79" i="5" s="1"/>
  <c r="B80" i="4"/>
  <c r="D79" i="4"/>
  <c r="E79" i="4" s="1"/>
  <c r="F79" i="4" s="1"/>
  <c r="B80" i="3"/>
  <c r="D79" i="3"/>
  <c r="E79" i="3" s="1"/>
  <c r="F79" i="3" s="1"/>
  <c r="G79" i="3" s="1"/>
  <c r="D79" i="1"/>
  <c r="E79" i="1" s="1"/>
  <c r="F79" i="1" s="1"/>
  <c r="B80" i="1"/>
  <c r="B81" i="6" l="1"/>
  <c r="D80" i="6"/>
  <c r="E80" i="6" s="1"/>
  <c r="F80" i="6" s="1"/>
  <c r="G80" i="6" s="1"/>
  <c r="H80" i="6" s="1"/>
  <c r="D80" i="5"/>
  <c r="E80" i="5" s="1"/>
  <c r="F80" i="5" s="1"/>
  <c r="B81" i="5"/>
  <c r="D80" i="4"/>
  <c r="E80" i="4" s="1"/>
  <c r="F80" i="4" s="1"/>
  <c r="B81" i="4"/>
  <c r="B81" i="3"/>
  <c r="D80" i="3"/>
  <c r="E80" i="3" s="1"/>
  <c r="F80" i="3" s="1"/>
  <c r="G80" i="3" s="1"/>
  <c r="D80" i="1"/>
  <c r="E80" i="1" s="1"/>
  <c r="F80" i="1" s="1"/>
  <c r="B81" i="1"/>
  <c r="D81" i="6" l="1"/>
  <c r="E81" i="6" s="1"/>
  <c r="F81" i="6" s="1"/>
  <c r="G81" i="6" s="1"/>
  <c r="H81" i="6" s="1"/>
  <c r="B82" i="6"/>
  <c r="B82" i="5"/>
  <c r="D81" i="5"/>
  <c r="E81" i="5" s="1"/>
  <c r="F81" i="5" s="1"/>
  <c r="B82" i="4"/>
  <c r="D81" i="4"/>
  <c r="E81" i="4" s="1"/>
  <c r="F81" i="4" s="1"/>
  <c r="D81" i="3"/>
  <c r="E81" i="3" s="1"/>
  <c r="F81" i="3" s="1"/>
  <c r="G81" i="3" s="1"/>
  <c r="B82" i="3"/>
  <c r="D81" i="1"/>
  <c r="E81" i="1" s="1"/>
  <c r="F81" i="1" s="1"/>
  <c r="B82" i="1"/>
  <c r="D82" i="6" l="1"/>
  <c r="E82" i="6" s="1"/>
  <c r="F82" i="6" s="1"/>
  <c r="G82" i="6" s="1"/>
  <c r="H82" i="6" s="1"/>
  <c r="B83" i="6"/>
  <c r="D82" i="5"/>
  <c r="E82" i="5" s="1"/>
  <c r="F82" i="5" s="1"/>
  <c r="B83" i="5"/>
  <c r="D82" i="4"/>
  <c r="E82" i="4" s="1"/>
  <c r="F82" i="4" s="1"/>
  <c r="B83" i="4"/>
  <c r="D82" i="3"/>
  <c r="E82" i="3" s="1"/>
  <c r="F82" i="3" s="1"/>
  <c r="G82" i="3" s="1"/>
  <c r="B83" i="3"/>
  <c r="D82" i="1"/>
  <c r="E82" i="1" s="1"/>
  <c r="F82" i="1" s="1"/>
  <c r="B83" i="1"/>
  <c r="B84" i="6" l="1"/>
  <c r="D83" i="6"/>
  <c r="E83" i="6" s="1"/>
  <c r="F83" i="6" s="1"/>
  <c r="G83" i="6" s="1"/>
  <c r="H83" i="6" s="1"/>
  <c r="B84" i="5"/>
  <c r="D83" i="5"/>
  <c r="E83" i="5" s="1"/>
  <c r="F83" i="5" s="1"/>
  <c r="B84" i="4"/>
  <c r="D83" i="4"/>
  <c r="E83" i="4" s="1"/>
  <c r="F83" i="4" s="1"/>
  <c r="B84" i="3"/>
  <c r="D83" i="3"/>
  <c r="E83" i="3" s="1"/>
  <c r="F83" i="3" s="1"/>
  <c r="G83" i="3" s="1"/>
  <c r="D83" i="1"/>
  <c r="E83" i="1" s="1"/>
  <c r="F83" i="1" s="1"/>
  <c r="B84" i="1"/>
  <c r="B85" i="6" l="1"/>
  <c r="D84" i="6"/>
  <c r="E84" i="6" s="1"/>
  <c r="F84" i="6" s="1"/>
  <c r="G84" i="6" s="1"/>
  <c r="H84" i="6" s="1"/>
  <c r="D84" i="5"/>
  <c r="E84" i="5" s="1"/>
  <c r="F84" i="5" s="1"/>
  <c r="B85" i="5"/>
  <c r="D84" i="4"/>
  <c r="E84" i="4" s="1"/>
  <c r="F84" i="4" s="1"/>
  <c r="B85" i="4"/>
  <c r="B85" i="3"/>
  <c r="D84" i="3"/>
  <c r="E84" i="3" s="1"/>
  <c r="F84" i="3" s="1"/>
  <c r="G84" i="3" s="1"/>
  <c r="D84" i="1"/>
  <c r="E84" i="1" s="1"/>
  <c r="F84" i="1" s="1"/>
  <c r="B85" i="1"/>
  <c r="D85" i="6" l="1"/>
  <c r="E85" i="6" s="1"/>
  <c r="F85" i="6" s="1"/>
  <c r="G85" i="6" s="1"/>
  <c r="H85" i="6" s="1"/>
  <c r="B86" i="6"/>
  <c r="B86" i="5"/>
  <c r="D85" i="5"/>
  <c r="E85" i="5" s="1"/>
  <c r="F85" i="5" s="1"/>
  <c r="B86" i="4"/>
  <c r="D85" i="4"/>
  <c r="E85" i="4" s="1"/>
  <c r="F85" i="4" s="1"/>
  <c r="D85" i="3"/>
  <c r="E85" i="3" s="1"/>
  <c r="F85" i="3" s="1"/>
  <c r="G85" i="3" s="1"/>
  <c r="B86" i="3"/>
  <c r="D85" i="1"/>
  <c r="E85" i="1" s="1"/>
  <c r="F85" i="1" s="1"/>
  <c r="B86" i="1"/>
  <c r="D86" i="6" l="1"/>
  <c r="E86" i="6" s="1"/>
  <c r="F86" i="6" s="1"/>
  <c r="G86" i="6" s="1"/>
  <c r="H86" i="6" s="1"/>
  <c r="B87" i="6"/>
  <c r="D86" i="5"/>
  <c r="E86" i="5" s="1"/>
  <c r="F86" i="5" s="1"/>
  <c r="B87" i="5"/>
  <c r="B87" i="4"/>
  <c r="D86" i="4"/>
  <c r="E86" i="4" s="1"/>
  <c r="F86" i="4" s="1"/>
  <c r="D86" i="3"/>
  <c r="E86" i="3" s="1"/>
  <c r="F86" i="3" s="1"/>
  <c r="G86" i="3" s="1"/>
  <c r="B87" i="3"/>
  <c r="D86" i="1"/>
  <c r="E86" i="1" s="1"/>
  <c r="F86" i="1" s="1"/>
  <c r="B87" i="1"/>
  <c r="B88" i="6" l="1"/>
  <c r="D87" i="6"/>
  <c r="E87" i="6" s="1"/>
  <c r="F87" i="6" s="1"/>
  <c r="G87" i="6" s="1"/>
  <c r="H87" i="6" s="1"/>
  <c r="B88" i="5"/>
  <c r="D87" i="5"/>
  <c r="E87" i="5" s="1"/>
  <c r="F87" i="5" s="1"/>
  <c r="B88" i="4"/>
  <c r="D87" i="4"/>
  <c r="E87" i="4" s="1"/>
  <c r="F87" i="4" s="1"/>
  <c r="B88" i="3"/>
  <c r="D87" i="3"/>
  <c r="E87" i="3" s="1"/>
  <c r="F87" i="3" s="1"/>
  <c r="G87" i="3" s="1"/>
  <c r="D87" i="1"/>
  <c r="E87" i="1" s="1"/>
  <c r="F87" i="1" s="1"/>
  <c r="B88" i="1"/>
  <c r="B89" i="6" l="1"/>
  <c r="D88" i="6"/>
  <c r="E88" i="6" s="1"/>
  <c r="F88" i="6" s="1"/>
  <c r="D88" i="5"/>
  <c r="E88" i="5" s="1"/>
  <c r="F88" i="5" s="1"/>
  <c r="B89" i="5"/>
  <c r="B89" i="4"/>
  <c r="D88" i="4"/>
  <c r="E88" i="4" s="1"/>
  <c r="F88" i="4" s="1"/>
  <c r="B89" i="3"/>
  <c r="D88" i="3"/>
  <c r="E88" i="3" s="1"/>
  <c r="F88" i="3" s="1"/>
  <c r="D88" i="1"/>
  <c r="E88" i="1" s="1"/>
  <c r="F88" i="1" s="1"/>
  <c r="B89" i="1"/>
  <c r="B90" i="6" l="1"/>
  <c r="D89" i="6"/>
  <c r="E89" i="6" s="1"/>
  <c r="F89" i="6" s="1"/>
  <c r="B90" i="5"/>
  <c r="D89" i="5"/>
  <c r="E89" i="5" s="1"/>
  <c r="F89" i="5" s="1"/>
  <c r="B90" i="4"/>
  <c r="D89" i="4"/>
  <c r="E89" i="4" s="1"/>
  <c r="F89" i="4" s="1"/>
  <c r="B90" i="3"/>
  <c r="D89" i="3"/>
  <c r="E89" i="3" s="1"/>
  <c r="F89" i="3" s="1"/>
  <c r="D89" i="1"/>
  <c r="E89" i="1" s="1"/>
  <c r="F89" i="1" s="1"/>
  <c r="B90" i="1"/>
  <c r="D90" i="6" l="1"/>
  <c r="E90" i="6" s="1"/>
  <c r="F90" i="6" s="1"/>
  <c r="B91" i="6"/>
  <c r="D90" i="5"/>
  <c r="E90" i="5" s="1"/>
  <c r="F90" i="5" s="1"/>
  <c r="B91" i="5"/>
  <c r="D90" i="4"/>
  <c r="E90" i="4" s="1"/>
  <c r="F90" i="4" s="1"/>
  <c r="B91" i="4"/>
  <c r="B91" i="3"/>
  <c r="D90" i="3"/>
  <c r="E90" i="3" s="1"/>
  <c r="F90" i="3" s="1"/>
  <c r="D90" i="1"/>
  <c r="E90" i="1" s="1"/>
  <c r="F90" i="1" s="1"/>
  <c r="B91" i="1"/>
  <c r="B92" i="6" l="1"/>
  <c r="D91" i="6"/>
  <c r="E91" i="6" s="1"/>
  <c r="F91" i="6" s="1"/>
  <c r="B92" i="5"/>
  <c r="D91" i="5"/>
  <c r="E91" i="5" s="1"/>
  <c r="F91" i="5" s="1"/>
  <c r="B92" i="4"/>
  <c r="D91" i="4"/>
  <c r="E91" i="4" s="1"/>
  <c r="F91" i="4" s="1"/>
  <c r="B92" i="3"/>
  <c r="D91" i="3"/>
  <c r="E91" i="3" s="1"/>
  <c r="F91" i="3" s="1"/>
  <c r="D91" i="1"/>
  <c r="E91" i="1" s="1"/>
  <c r="F91" i="1" s="1"/>
  <c r="B92" i="1"/>
  <c r="B93" i="6" l="1"/>
  <c r="D92" i="6"/>
  <c r="E92" i="6" s="1"/>
  <c r="F92" i="6" s="1"/>
  <c r="D92" i="5"/>
  <c r="E92" i="5" s="1"/>
  <c r="F92" i="5" s="1"/>
  <c r="B93" i="5"/>
  <c r="B93" i="4"/>
  <c r="D92" i="4"/>
  <c r="E92" i="4" s="1"/>
  <c r="F92" i="4" s="1"/>
  <c r="B93" i="3"/>
  <c r="D92" i="3"/>
  <c r="E92" i="3" s="1"/>
  <c r="F92" i="3" s="1"/>
  <c r="D92" i="1"/>
  <c r="E92" i="1" s="1"/>
  <c r="F92" i="1" s="1"/>
  <c r="B93" i="1"/>
  <c r="B94" i="6" l="1"/>
  <c r="D93" i="6"/>
  <c r="E93" i="6" s="1"/>
  <c r="F93" i="6" s="1"/>
  <c r="B94" i="5"/>
  <c r="D93" i="5"/>
  <c r="E93" i="5" s="1"/>
  <c r="F93" i="5" s="1"/>
  <c r="B94" i="4"/>
  <c r="D93" i="4"/>
  <c r="E93" i="4" s="1"/>
  <c r="F93" i="4" s="1"/>
  <c r="B94" i="3"/>
  <c r="D93" i="3"/>
  <c r="E93" i="3" s="1"/>
  <c r="F93" i="3" s="1"/>
  <c r="D93" i="1"/>
  <c r="E93" i="1" s="1"/>
  <c r="F93" i="1" s="1"/>
  <c r="B94" i="1"/>
  <c r="D94" i="6" l="1"/>
  <c r="E94" i="6" s="1"/>
  <c r="F94" i="6" s="1"/>
  <c r="B95" i="6"/>
  <c r="D94" i="5"/>
  <c r="E94" i="5" s="1"/>
  <c r="F94" i="5" s="1"/>
  <c r="B95" i="5"/>
  <c r="B95" i="4"/>
  <c r="D94" i="4"/>
  <c r="E94" i="4" s="1"/>
  <c r="F94" i="4" s="1"/>
  <c r="B95" i="3"/>
  <c r="D94" i="3"/>
  <c r="E94" i="3" s="1"/>
  <c r="F94" i="3" s="1"/>
  <c r="D94" i="1"/>
  <c r="E94" i="1" s="1"/>
  <c r="F94" i="1" s="1"/>
  <c r="B95" i="1"/>
  <c r="B96" i="6" l="1"/>
  <c r="D95" i="6"/>
  <c r="E95" i="6" s="1"/>
  <c r="F95" i="6" s="1"/>
  <c r="B96" i="5"/>
  <c r="D95" i="5"/>
  <c r="E95" i="5" s="1"/>
  <c r="F95" i="5" s="1"/>
  <c r="B96" i="4"/>
  <c r="D95" i="4"/>
  <c r="E95" i="4" s="1"/>
  <c r="F95" i="4" s="1"/>
  <c r="B96" i="3"/>
  <c r="D95" i="3"/>
  <c r="E95" i="3" s="1"/>
  <c r="F95" i="3" s="1"/>
  <c r="D95" i="1"/>
  <c r="E95" i="1" s="1"/>
  <c r="F95" i="1" s="1"/>
  <c r="B96" i="1"/>
  <c r="D96" i="6" l="1"/>
  <c r="E96" i="6" s="1"/>
  <c r="F96" i="6" s="1"/>
  <c r="B97" i="6"/>
  <c r="D96" i="5"/>
  <c r="E96" i="5" s="1"/>
  <c r="F96" i="5" s="1"/>
  <c r="B97" i="5"/>
  <c r="D96" i="4"/>
  <c r="E96" i="4" s="1"/>
  <c r="F96" i="4" s="1"/>
  <c r="B97" i="4"/>
  <c r="B97" i="3"/>
  <c r="D96" i="3"/>
  <c r="E96" i="3" s="1"/>
  <c r="F96" i="3" s="1"/>
  <c r="D96" i="1"/>
  <c r="E96" i="1" s="1"/>
  <c r="F96" i="1" s="1"/>
  <c r="B97" i="1"/>
  <c r="B98" i="6" l="1"/>
  <c r="D97" i="6"/>
  <c r="E97" i="6" s="1"/>
  <c r="F97" i="6" s="1"/>
  <c r="B98" i="5"/>
  <c r="D97" i="5"/>
  <c r="E97" i="5" s="1"/>
  <c r="F97" i="5" s="1"/>
  <c r="B98" i="4"/>
  <c r="D97" i="4"/>
  <c r="E97" i="4" s="1"/>
  <c r="F97" i="4" s="1"/>
  <c r="B98" i="3"/>
  <c r="D97" i="3"/>
  <c r="E97" i="3" s="1"/>
  <c r="F97" i="3" s="1"/>
  <c r="D97" i="1"/>
  <c r="E97" i="1" s="1"/>
  <c r="F97" i="1" s="1"/>
  <c r="B98" i="1"/>
  <c r="B99" i="6" l="1"/>
  <c r="D99" i="6" s="1"/>
  <c r="E99" i="6" s="1"/>
  <c r="F99" i="6" s="1"/>
  <c r="D98" i="6"/>
  <c r="E98" i="6" s="1"/>
  <c r="F98" i="6" s="1"/>
  <c r="D98" i="5"/>
  <c r="E98" i="5" s="1"/>
  <c r="F98" i="5" s="1"/>
  <c r="B99" i="5"/>
  <c r="D99" i="5" s="1"/>
  <c r="E99" i="5" s="1"/>
  <c r="F99" i="5" s="1"/>
  <c r="B99" i="4"/>
  <c r="D99" i="4" s="1"/>
  <c r="E99" i="4" s="1"/>
  <c r="F99" i="4" s="1"/>
  <c r="D98" i="4"/>
  <c r="E98" i="4" s="1"/>
  <c r="F98" i="4" s="1"/>
  <c r="B99" i="3"/>
  <c r="D99" i="3" s="1"/>
  <c r="E99" i="3" s="1"/>
  <c r="F99" i="3" s="1"/>
  <c r="D98" i="3"/>
  <c r="E98" i="3" s="1"/>
  <c r="F98" i="3" s="1"/>
  <c r="B99" i="1"/>
  <c r="D99" i="1" s="1"/>
  <c r="E99" i="1" s="1"/>
  <c r="F99" i="1" s="1"/>
  <c r="D98" i="1"/>
  <c r="E98" i="1" s="1"/>
  <c r="F98" i="1" s="1"/>
</calcChain>
</file>

<file path=xl/sharedStrings.xml><?xml version="1.0" encoding="utf-8"?>
<sst xmlns="http://schemas.openxmlformats.org/spreadsheetml/2006/main" count="103" uniqueCount="31">
  <si>
    <t>3で急収束</t>
    <rPh sb="2" eb="3">
      <t>キュウ</t>
    </rPh>
    <rPh sb="3" eb="5">
      <t>シュウソク</t>
    </rPh>
    <phoneticPr fontId="1"/>
  </si>
  <si>
    <t>任意の年齢</t>
    <rPh sb="0" eb="2">
      <t>ニンイ</t>
    </rPh>
    <rPh sb="3" eb="5">
      <t>ネンレイ</t>
    </rPh>
    <phoneticPr fontId="1"/>
  </si>
  <si>
    <t>任意の月</t>
    <rPh sb="0" eb="2">
      <t>ニンイ</t>
    </rPh>
    <rPh sb="3" eb="4">
      <t>ツキ</t>
    </rPh>
    <phoneticPr fontId="1"/>
  </si>
  <si>
    <t>年齢換算</t>
    <rPh sb="0" eb="4">
      <t>ネンレイカンサン</t>
    </rPh>
    <phoneticPr fontId="1"/>
  </si>
  <si>
    <t>T(x-"m")</t>
    <phoneticPr fontId="1"/>
  </si>
  <si>
    <t>真の年齢(有効2桁)</t>
    <rPh sb="0" eb="1">
      <t>シン</t>
    </rPh>
    <rPh sb="2" eb="4">
      <t>ネンレイ</t>
    </rPh>
    <rPh sb="5" eb="7">
      <t>ユウコウ</t>
    </rPh>
    <rPh sb="8" eb="9">
      <t>ケタ</t>
    </rPh>
    <phoneticPr fontId="1"/>
  </si>
  <si>
    <t>判別</t>
    <rPh sb="0" eb="2">
      <t>ハンベツ</t>
    </rPh>
    <phoneticPr fontId="1"/>
  </si>
  <si>
    <t>年齢収束関数</t>
    <rPh sb="0" eb="2">
      <t>ネンレイ</t>
    </rPh>
    <rPh sb="2" eb="6">
      <t>シュウソクカンスウ</t>
    </rPh>
    <phoneticPr fontId="1"/>
  </si>
  <si>
    <t>強い意志k</t>
    <rPh sb="0" eb="1">
      <t>ツヨ</t>
    </rPh>
    <rPh sb="2" eb="4">
      <t>イシ</t>
    </rPh>
    <phoneticPr fontId="1"/>
  </si>
  <si>
    <t>補正係数A</t>
    <rPh sb="0" eb="2">
      <t>ホセイ</t>
    </rPh>
    <rPh sb="2" eb="4">
      <t>ケイスウ</t>
    </rPh>
    <phoneticPr fontId="1"/>
  </si>
  <si>
    <t>t</t>
    <phoneticPr fontId="1"/>
  </si>
  <si>
    <t>"A*(T(xx-"m")*(xx-"m")+"m""</t>
    <phoneticPr fontId="1"/>
  </si>
  <si>
    <t>"T(xx)=((-1/π)*arctan(k*xx)+1/2)"</t>
    <phoneticPr fontId="1"/>
  </si>
  <si>
    <t>"h*l*arctan l*k - (h*l-1)*arctan m*k + π/2 &gt; 0(lについては要検証)"</t>
    <rPh sb="53" eb="56">
      <t>ヨウケンショウ</t>
    </rPh>
    <phoneticPr fontId="1"/>
  </si>
  <si>
    <t>"A=(0.5+(1/(PI())*ATAN("m"*"k")))^-1"</t>
    <phoneticPr fontId="1"/>
  </si>
  <si>
    <t>収束年齢m</t>
    <rPh sb="0" eb="2">
      <t>シュウソク</t>
    </rPh>
    <rPh sb="2" eb="4">
      <t>ネンレイ</t>
    </rPh>
    <phoneticPr fontId="1"/>
  </si>
  <si>
    <t>12arctan k - 11arctan m*k + π/2  &gt;  0</t>
    <phoneticPr fontId="1"/>
  </si>
  <si>
    <t>判別(無効)</t>
    <rPh sb="0" eb="2">
      <t>ハンベツ</t>
    </rPh>
    <rPh sb="3" eb="5">
      <t>ムコウ</t>
    </rPh>
    <phoneticPr fontId="1"/>
  </si>
  <si>
    <t>k*(ATAN(m*k)) + (π/2)*k - 1 &gt; 0</t>
    <phoneticPr fontId="1"/>
  </si>
  <si>
    <t>m=3, h=12</t>
    <phoneticPr fontId="1"/>
  </si>
  <si>
    <t>k_min1</t>
    <phoneticPr fontId="1"/>
  </si>
  <si>
    <t>k_min2</t>
    <phoneticPr fontId="1"/>
  </si>
  <si>
    <t>l=1 (m=3~18まで確認済み)</t>
    <rPh sb="13" eb="16">
      <t>カクニンズ</t>
    </rPh>
    <phoneticPr fontId="1"/>
  </si>
  <si>
    <t>k_min3</t>
    <phoneticPr fontId="1"/>
  </si>
  <si>
    <t>12*l*arctan l*k - (12*l-1)*arctan m*k + π/2 &gt; 0</t>
    <phoneticPr fontId="1"/>
  </si>
  <si>
    <t>k_minx</t>
    <phoneticPr fontId="1"/>
  </si>
  <si>
    <t>h*l*arctan l*k - (h*l-1)*arctan m*k + π/2 &gt; 0</t>
    <phoneticPr fontId="1"/>
  </si>
  <si>
    <t>m</t>
    <phoneticPr fontId="1"/>
  </si>
  <si>
    <t>収束年齢</t>
    <rPh sb="0" eb="2">
      <t>シュウソク</t>
    </rPh>
    <rPh sb="2" eb="4">
      <t>ネンレイ</t>
    </rPh>
    <phoneticPr fontId="1"/>
  </si>
  <si>
    <t>k</t>
    <phoneticPr fontId="1"/>
  </si>
  <si>
    <t>収束意志</t>
    <rPh sb="0" eb="4">
      <t>シュウソクイシ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</si>
</sst>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00_ "/>
    <numFmt numFmtId="178" formatCode="0_);[Red]\(0\)"/>
    <numFmt numFmtId="179" formatCode="0.0_ "/>
  </numFmts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76" fontId="0" fillId="0" borderId="0" xfId="0" applyNumberFormat="1"/>
    <xf numFmtId="177" fontId="0" fillId="0" borderId="0" xfId="0" applyNumberFormat="1"/>
    <xf numFmtId="0" fontId="0" fillId="0" borderId="2" xfId="0" applyBorder="1"/>
    <xf numFmtId="0" fontId="0" fillId="0" borderId="3" xfId="0" applyBorder="1"/>
    <xf numFmtId="0" fontId="2" fillId="0" borderId="0" xfId="0" applyFont="1"/>
    <xf numFmtId="178" fontId="0" fillId="0" borderId="0" xfId="0" applyNumberFormat="1"/>
    <xf numFmtId="179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年齢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v>m=3, k=inf(10000000)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'[1]Sheet2_3 (3_inf)'!$D$3:$D$117</c:f>
              <c:numCache>
                <c:formatCode>General</c:formatCode>
                <c:ptCount val="115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1.5833333333333335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1.8333333333333335</c:v>
                </c:pt>
                <c:pt idx="23">
                  <c:v>1.9166666666666665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35</c:v>
                </c:pt>
                <c:pt idx="98">
                  <c:v>40</c:v>
                </c:pt>
                <c:pt idx="99">
                  <c:v>45</c:v>
                </c:pt>
                <c:pt idx="100">
                  <c:v>50</c:v>
                </c:pt>
                <c:pt idx="101">
                  <c:v>55</c:v>
                </c:pt>
                <c:pt idx="102">
                  <c:v>60</c:v>
                </c:pt>
                <c:pt idx="103">
                  <c:v>65</c:v>
                </c:pt>
                <c:pt idx="104">
                  <c:v>70</c:v>
                </c:pt>
                <c:pt idx="105">
                  <c:v>75</c:v>
                </c:pt>
                <c:pt idx="106">
                  <c:v>80</c:v>
                </c:pt>
                <c:pt idx="107">
                  <c:v>85</c:v>
                </c:pt>
                <c:pt idx="108">
                  <c:v>90</c:v>
                </c:pt>
                <c:pt idx="109">
                  <c:v>95</c:v>
                </c:pt>
                <c:pt idx="110">
                  <c:v>100</c:v>
                </c:pt>
                <c:pt idx="111">
                  <c:v>105</c:v>
                </c:pt>
                <c:pt idx="112">
                  <c:v>110</c:v>
                </c:pt>
                <c:pt idx="113">
                  <c:v>115</c:v>
                </c:pt>
                <c:pt idx="114">
                  <c:v>120</c:v>
                </c:pt>
              </c:numCache>
            </c:numRef>
          </c:xVal>
          <c:yVal>
            <c:numRef>
              <c:f>'[1]Sheet2_3 (3_inf)'!$F$3:$F$117</c:f>
              <c:numCache>
                <c:formatCode>General</c:formatCode>
                <c:ptCount val="115"/>
                <c:pt idx="0">
                  <c:v>0</c:v>
                </c:pt>
                <c:pt idx="1">
                  <c:v>8.3333334217527089E-2</c:v>
                </c:pt>
                <c:pt idx="2">
                  <c:v>0.16666666843505462</c:v>
                </c:pt>
                <c:pt idx="3">
                  <c:v>0.25000000265258215</c:v>
                </c:pt>
                <c:pt idx="4">
                  <c:v>0.33333333687010969</c:v>
                </c:pt>
                <c:pt idx="5">
                  <c:v>0.41666667108763678</c:v>
                </c:pt>
                <c:pt idx="6">
                  <c:v>0.50000000530516431</c:v>
                </c:pt>
                <c:pt idx="7">
                  <c:v>0.58333333952269184</c:v>
                </c:pt>
                <c:pt idx="8">
                  <c:v>0.66666667374021937</c:v>
                </c:pt>
                <c:pt idx="9">
                  <c:v>0.75000000795774691</c:v>
                </c:pt>
                <c:pt idx="10">
                  <c:v>0.83333334217527444</c:v>
                </c:pt>
                <c:pt idx="11">
                  <c:v>0.91666667639280153</c:v>
                </c:pt>
                <c:pt idx="12">
                  <c:v>1.0000000106103295</c:v>
                </c:pt>
                <c:pt idx="13">
                  <c:v>1.083333344827857</c:v>
                </c:pt>
                <c:pt idx="14">
                  <c:v>1.1666666790453843</c:v>
                </c:pt>
                <c:pt idx="15">
                  <c:v>1.2500000132629119</c:v>
                </c:pt>
                <c:pt idx="16">
                  <c:v>1.3333333474804394</c:v>
                </c:pt>
                <c:pt idx="17">
                  <c:v>1.4166666816979667</c:v>
                </c:pt>
                <c:pt idx="18">
                  <c:v>1.5000000159154943</c:v>
                </c:pt>
                <c:pt idx="19">
                  <c:v>1.583333350133022</c:v>
                </c:pt>
                <c:pt idx="20">
                  <c:v>1.6666666843505491</c:v>
                </c:pt>
                <c:pt idx="21">
                  <c:v>1.7500000185680769</c:v>
                </c:pt>
                <c:pt idx="22">
                  <c:v>1.8333333527856044</c:v>
                </c:pt>
                <c:pt idx="23">
                  <c:v>1.9166666870031315</c:v>
                </c:pt>
                <c:pt idx="24">
                  <c:v>2.000000021220659</c:v>
                </c:pt>
                <c:pt idx="25">
                  <c:v>2.083333355438187</c:v>
                </c:pt>
                <c:pt idx="26">
                  <c:v>2.1666666896557141</c:v>
                </c:pt>
                <c:pt idx="27">
                  <c:v>2.2500000238732416</c:v>
                </c:pt>
                <c:pt idx="28">
                  <c:v>2.3333333580907691</c:v>
                </c:pt>
                <c:pt idx="29">
                  <c:v>2.4166666923082962</c:v>
                </c:pt>
                <c:pt idx="30">
                  <c:v>2.5000000265258242</c:v>
                </c:pt>
                <c:pt idx="31">
                  <c:v>2.5833333607433517</c:v>
                </c:pt>
                <c:pt idx="32">
                  <c:v>2.6666666949608788</c:v>
                </c:pt>
                <c:pt idx="33">
                  <c:v>2.7500000291784064</c:v>
                </c:pt>
                <c:pt idx="34">
                  <c:v>2.8333333633959343</c:v>
                </c:pt>
                <c:pt idx="35">
                  <c:v>2.9166666976134614</c:v>
                </c:pt>
                <c:pt idx="36">
                  <c:v>3</c:v>
                </c:pt>
                <c:pt idx="37">
                  <c:v>3.000000031830989</c:v>
                </c:pt>
                <c:pt idx="38">
                  <c:v>3.000000031830989</c:v>
                </c:pt>
                <c:pt idx="39">
                  <c:v>3.000000031830989</c:v>
                </c:pt>
                <c:pt idx="40">
                  <c:v>3.000000031830989</c:v>
                </c:pt>
                <c:pt idx="41">
                  <c:v>3.000000031830989</c:v>
                </c:pt>
                <c:pt idx="42">
                  <c:v>3.000000031830989</c:v>
                </c:pt>
                <c:pt idx="43">
                  <c:v>3.000000031830989</c:v>
                </c:pt>
                <c:pt idx="44">
                  <c:v>3.000000031830989</c:v>
                </c:pt>
                <c:pt idx="45">
                  <c:v>3.000000031830989</c:v>
                </c:pt>
                <c:pt idx="46">
                  <c:v>3.000000031830989</c:v>
                </c:pt>
                <c:pt idx="47">
                  <c:v>3.000000031830989</c:v>
                </c:pt>
                <c:pt idx="48">
                  <c:v>3.000000031830989</c:v>
                </c:pt>
                <c:pt idx="49">
                  <c:v>3.000000031830989</c:v>
                </c:pt>
                <c:pt idx="50">
                  <c:v>3.000000031830989</c:v>
                </c:pt>
                <c:pt idx="51">
                  <c:v>3.000000031830989</c:v>
                </c:pt>
                <c:pt idx="52">
                  <c:v>3.000000031830989</c:v>
                </c:pt>
                <c:pt idx="53">
                  <c:v>3.000000031830989</c:v>
                </c:pt>
                <c:pt idx="54">
                  <c:v>3.000000031830989</c:v>
                </c:pt>
                <c:pt idx="55">
                  <c:v>3.000000031830989</c:v>
                </c:pt>
                <c:pt idx="56">
                  <c:v>3.000000031830989</c:v>
                </c:pt>
                <c:pt idx="57">
                  <c:v>3.000000031830989</c:v>
                </c:pt>
                <c:pt idx="58">
                  <c:v>3.000000031830989</c:v>
                </c:pt>
                <c:pt idx="59">
                  <c:v>3.000000031830989</c:v>
                </c:pt>
                <c:pt idx="60">
                  <c:v>3.000000031830989</c:v>
                </c:pt>
                <c:pt idx="61">
                  <c:v>3.000000031830989</c:v>
                </c:pt>
                <c:pt idx="62">
                  <c:v>3.000000031830989</c:v>
                </c:pt>
                <c:pt idx="63">
                  <c:v>3.000000031830989</c:v>
                </c:pt>
                <c:pt idx="64">
                  <c:v>3.000000031830989</c:v>
                </c:pt>
                <c:pt idx="65">
                  <c:v>3.000000031830989</c:v>
                </c:pt>
                <c:pt idx="66">
                  <c:v>3.000000031830989</c:v>
                </c:pt>
                <c:pt idx="67">
                  <c:v>3.000000031830989</c:v>
                </c:pt>
                <c:pt idx="68">
                  <c:v>3.000000031830989</c:v>
                </c:pt>
                <c:pt idx="69">
                  <c:v>3.000000031830989</c:v>
                </c:pt>
                <c:pt idx="70">
                  <c:v>3.000000031830989</c:v>
                </c:pt>
                <c:pt idx="71">
                  <c:v>3.000000031830989</c:v>
                </c:pt>
                <c:pt idx="72">
                  <c:v>3.000000031830989</c:v>
                </c:pt>
                <c:pt idx="73">
                  <c:v>3.0000000318309885</c:v>
                </c:pt>
                <c:pt idx="74">
                  <c:v>3.000000031830989</c:v>
                </c:pt>
                <c:pt idx="75">
                  <c:v>3.000000031830989</c:v>
                </c:pt>
                <c:pt idx="76">
                  <c:v>3.0000000318309885</c:v>
                </c:pt>
                <c:pt idx="77">
                  <c:v>3.000000031830989</c:v>
                </c:pt>
                <c:pt idx="78">
                  <c:v>3.0000000318309894</c:v>
                </c:pt>
                <c:pt idx="79">
                  <c:v>3.000000031830989</c:v>
                </c:pt>
                <c:pt idx="80">
                  <c:v>3.0000000318309894</c:v>
                </c:pt>
                <c:pt idx="81">
                  <c:v>3.000000031830989</c:v>
                </c:pt>
                <c:pt idx="82">
                  <c:v>3.000000031830989</c:v>
                </c:pt>
                <c:pt idx="83">
                  <c:v>3.0000000318309885</c:v>
                </c:pt>
                <c:pt idx="84">
                  <c:v>3.0000000318309881</c:v>
                </c:pt>
                <c:pt idx="85">
                  <c:v>3.0000000318309881</c:v>
                </c:pt>
                <c:pt idx="86">
                  <c:v>3.0000000318309885</c:v>
                </c:pt>
                <c:pt idx="87">
                  <c:v>3.0000000318309894</c:v>
                </c:pt>
                <c:pt idx="88">
                  <c:v>3.0000000318309885</c:v>
                </c:pt>
                <c:pt idx="89">
                  <c:v>3.0000000318309881</c:v>
                </c:pt>
                <c:pt idx="90">
                  <c:v>3.0000000318309876</c:v>
                </c:pt>
                <c:pt idx="91">
                  <c:v>3.0000000318309881</c:v>
                </c:pt>
                <c:pt idx="92">
                  <c:v>3.0000000318309885</c:v>
                </c:pt>
                <c:pt idx="93">
                  <c:v>3.0000000318309876</c:v>
                </c:pt>
                <c:pt idx="94">
                  <c:v>3.0000000318309881</c:v>
                </c:pt>
                <c:pt idx="95">
                  <c:v>3.000000031830989</c:v>
                </c:pt>
                <c:pt idx="96">
                  <c:v>3.0000000318309876</c:v>
                </c:pt>
                <c:pt idx="97">
                  <c:v>3.0000000318309898</c:v>
                </c:pt>
                <c:pt idx="98">
                  <c:v>3.0000000318309894</c:v>
                </c:pt>
                <c:pt idx="99">
                  <c:v>3.0000000318309876</c:v>
                </c:pt>
                <c:pt idx="100">
                  <c:v>3.0000000318309894</c:v>
                </c:pt>
                <c:pt idx="101">
                  <c:v>3.0000000318309863</c:v>
                </c:pt>
                <c:pt idx="102">
                  <c:v>3.0000000318309894</c:v>
                </c:pt>
                <c:pt idx="103">
                  <c:v>3.0000000318309854</c:v>
                </c:pt>
                <c:pt idx="104">
                  <c:v>3.0000000318309872</c:v>
                </c:pt>
                <c:pt idx="105">
                  <c:v>3.0000000318309863</c:v>
                </c:pt>
                <c:pt idx="106">
                  <c:v>3.0000000318309823</c:v>
                </c:pt>
                <c:pt idx="107">
                  <c:v>3.0000000318309823</c:v>
                </c:pt>
                <c:pt idx="108">
                  <c:v>3.000000031830985</c:v>
                </c:pt>
                <c:pt idx="109">
                  <c:v>3.0000000318309898</c:v>
                </c:pt>
                <c:pt idx="110">
                  <c:v>3.0000000318309872</c:v>
                </c:pt>
                <c:pt idx="111">
                  <c:v>3.0000000318309801</c:v>
                </c:pt>
                <c:pt idx="112">
                  <c:v>3.0000000318309823</c:v>
                </c:pt>
                <c:pt idx="113">
                  <c:v>3.0000000318309845</c:v>
                </c:pt>
                <c:pt idx="114">
                  <c:v>3.0000000318309863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0C-4B21-926A-9A95021D6B33}"/>
            </c:ext>
          </c:extLst>
        </c:ser>
        <c:ser>
          <c:idx val="2"/>
          <c:order val="1"/>
          <c:tx>
            <c:v>m=3, k=min2(2.469)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'[1]Sheet2_3 (3_m2)'!$D$3:$D$117</c:f>
              <c:numCache>
                <c:formatCode>General</c:formatCode>
                <c:ptCount val="115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1.5833333333333335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1.8333333333333335</c:v>
                </c:pt>
                <c:pt idx="23">
                  <c:v>1.9166666666666665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35</c:v>
                </c:pt>
                <c:pt idx="98">
                  <c:v>40</c:v>
                </c:pt>
                <c:pt idx="99">
                  <c:v>45</c:v>
                </c:pt>
                <c:pt idx="100">
                  <c:v>50</c:v>
                </c:pt>
                <c:pt idx="101">
                  <c:v>55</c:v>
                </c:pt>
                <c:pt idx="102">
                  <c:v>60</c:v>
                </c:pt>
                <c:pt idx="103">
                  <c:v>65</c:v>
                </c:pt>
                <c:pt idx="104">
                  <c:v>70</c:v>
                </c:pt>
                <c:pt idx="105">
                  <c:v>75</c:v>
                </c:pt>
                <c:pt idx="106">
                  <c:v>80</c:v>
                </c:pt>
                <c:pt idx="107">
                  <c:v>85</c:v>
                </c:pt>
                <c:pt idx="108">
                  <c:v>90</c:v>
                </c:pt>
                <c:pt idx="109">
                  <c:v>95</c:v>
                </c:pt>
                <c:pt idx="110">
                  <c:v>100</c:v>
                </c:pt>
                <c:pt idx="111">
                  <c:v>105</c:v>
                </c:pt>
                <c:pt idx="112">
                  <c:v>110</c:v>
                </c:pt>
                <c:pt idx="113">
                  <c:v>115</c:v>
                </c:pt>
                <c:pt idx="114">
                  <c:v>120</c:v>
                </c:pt>
              </c:numCache>
            </c:numRef>
          </c:xVal>
          <c:yVal>
            <c:numRef>
              <c:f>'[1]Sheet2_3 (3_m2)'!$F$3:$F$117</c:f>
              <c:numCache>
                <c:formatCode>General</c:formatCode>
                <c:ptCount val="115"/>
                <c:pt idx="0">
                  <c:v>0</c:v>
                </c:pt>
                <c:pt idx="1">
                  <c:v>8.7005192549449717E-2</c:v>
                </c:pt>
                <c:pt idx="2">
                  <c:v>0.17400629953469204</c:v>
                </c:pt>
                <c:pt idx="3">
                  <c:v>0.26100282867837077</c:v>
                </c:pt>
                <c:pt idx="4">
                  <c:v>0.34799421162405153</c:v>
                </c:pt>
                <c:pt idx="5">
                  <c:v>0.43497978945255866</c:v>
                </c:pt>
                <c:pt idx="6">
                  <c:v>0.52195879489467156</c:v>
                </c:pt>
                <c:pt idx="7">
                  <c:v>0.60893033035545718</c:v>
                </c:pt>
                <c:pt idx="8">
                  <c:v>0.69589334059160013</c:v>
                </c:pt>
                <c:pt idx="9">
                  <c:v>0.78284657851231199</c:v>
                </c:pt>
                <c:pt idx="10">
                  <c:v>0.86978856206805011</c:v>
                </c:pt>
                <c:pt idx="11">
                  <c:v>0.95671751949328288</c:v>
                </c:pt>
                <c:pt idx="12">
                  <c:v>1.0436313191977482</c:v>
                </c:pt>
                <c:pt idx="13">
                  <c:v>1.1305273792335686</c:v>
                </c:pt>
                <c:pt idx="14">
                  <c:v>1.2174025493210492</c:v>
                </c:pt>
                <c:pt idx="15">
                  <c:v>1.3042529556176965</c:v>
                </c:pt>
                <c:pt idx="16">
                  <c:v>1.391073794338431</c:v>
                </c:pt>
                <c:pt idx="17">
                  <c:v>1.4778590543187062</c:v>
                </c:pt>
                <c:pt idx="18">
                  <c:v>1.5646011396116264</c:v>
                </c:pt>
                <c:pt idx="19">
                  <c:v>1.6512903495508839</c:v>
                </c:pt>
                <c:pt idx="20">
                  <c:v>1.737914152670748</c:v>
                </c:pt>
                <c:pt idx="21">
                  <c:v>1.8244561579596357</c:v>
                </c:pt>
                <c:pt idx="22">
                  <c:v>1.9108946346162505</c:v>
                </c:pt>
                <c:pt idx="23">
                  <c:v>1.9972003470331139</c:v>
                </c:pt>
                <c:pt idx="24">
                  <c:v>2.0833333333333277</c:v>
                </c:pt>
                <c:pt idx="25">
                  <c:v>2.1692380258965516</c:v>
                </c:pt>
                <c:pt idx="26">
                  <c:v>2.2548357266705956</c:v>
                </c:pt>
                <c:pt idx="27">
                  <c:v>2.3400128013357779</c:v>
                </c:pt>
                <c:pt idx="28">
                  <c:v>2.4246018770975648</c:v>
                </c:pt>
                <c:pt idx="29">
                  <c:v>2.5083516038226517</c:v>
                </c:pt>
                <c:pt idx="30">
                  <c:v>2.590878069284539</c:v>
                </c:pt>
                <c:pt idx="31">
                  <c:v>2.6715884939621453</c:v>
                </c:pt>
                <c:pt idx="32">
                  <c:v>2.7495693569891584</c:v>
                </c:pt>
                <c:pt idx="33">
                  <c:v>2.8234496120618569</c:v>
                </c:pt>
                <c:pt idx="34">
                  <c:v>2.89131265199812</c:v>
                </c:pt>
                <c:pt idx="35">
                  <c:v>2.9508510955334493</c:v>
                </c:pt>
                <c:pt idx="36">
                  <c:v>3</c:v>
                </c:pt>
                <c:pt idx="37">
                  <c:v>3.0379026566307985</c:v>
                </c:pt>
                <c:pt idx="38">
                  <c:v>3.0654157741928185</c:v>
                </c:pt>
                <c:pt idx="39">
                  <c:v>3.0846042953539041</c:v>
                </c:pt>
                <c:pt idx="40">
                  <c:v>3.0977756013785553</c:v>
                </c:pt>
                <c:pt idx="41">
                  <c:v>3.1068462994488915</c:v>
                </c:pt>
                <c:pt idx="42">
                  <c:v>3.113187435868634</c:v>
                </c:pt>
                <c:pt idx="43">
                  <c:v>3.1177125315040963</c:v>
                </c:pt>
                <c:pt idx="44">
                  <c:v>3.1210143658763583</c:v>
                </c:pt>
                <c:pt idx="45">
                  <c:v>3.1234768512119206</c:v>
                </c:pt>
                <c:pt idx="46">
                  <c:v>3.125351337644088</c:v>
                </c:pt>
                <c:pt idx="47">
                  <c:v>3.1268051979673932</c:v>
                </c:pt>
                <c:pt idx="48">
                  <c:v>3.1279520665015181</c:v>
                </c:pt>
                <c:pt idx="49">
                  <c:v>3.1288706412986538</c:v>
                </c:pt>
                <c:pt idx="50">
                  <c:v>3.1296164899791394</c:v>
                </c:pt>
                <c:pt idx="51">
                  <c:v>3.1302295744198738</c:v>
                </c:pt>
                <c:pt idx="52">
                  <c:v>3.1307391302283358</c:v>
                </c:pt>
                <c:pt idx="53">
                  <c:v>3.1311668882058203</c:v>
                </c:pt>
                <c:pt idx="54">
                  <c:v>3.1315292393639123</c:v>
                </c:pt>
                <c:pt idx="55">
                  <c:v>3.1318387151683416</c:v>
                </c:pt>
                <c:pt idx="56">
                  <c:v>3.1321050162854154</c:v>
                </c:pt>
                <c:pt idx="57">
                  <c:v>3.1323357386620301</c:v>
                </c:pt>
                <c:pt idx="58">
                  <c:v>3.1325368934627318</c:v>
                </c:pt>
                <c:pt idx="59">
                  <c:v>3.1327132844726004</c:v>
                </c:pt>
                <c:pt idx="60">
                  <c:v>3.1328687855341295</c:v>
                </c:pt>
                <c:pt idx="61">
                  <c:v>3.1330065469270134</c:v>
                </c:pt>
                <c:pt idx="62">
                  <c:v>3.1331291505991299</c:v>
                </c:pt>
                <c:pt idx="63">
                  <c:v>3.1332387281407406</c:v>
                </c:pt>
                <c:pt idx="64">
                  <c:v>3.1333370513173784</c:v>
                </c:pt>
                <c:pt idx="65">
                  <c:v>3.1334256021785847</c:v>
                </c:pt>
                <c:pt idx="66">
                  <c:v>3.1335056278151483</c:v>
                </c:pt>
                <c:pt idx="67">
                  <c:v>3.1335781834703846</c:v>
                </c:pt>
                <c:pt idx="68">
                  <c:v>3.1336441667392267</c:v>
                </c:pt>
                <c:pt idx="69">
                  <c:v>3.1337043448908948</c:v>
                </c:pt>
                <c:pt idx="70">
                  <c:v>3.1337593768445657</c:v>
                </c:pt>
                <c:pt idx="71">
                  <c:v>3.1338098309566722</c:v>
                </c:pt>
                <c:pt idx="72">
                  <c:v>3.1338561995045722</c:v>
                </c:pt>
                <c:pt idx="73">
                  <c:v>3.1342080830639274</c:v>
                </c:pt>
                <c:pt idx="74">
                  <c:v>3.1343720857188142</c:v>
                </c:pt>
                <c:pt idx="75">
                  <c:v>3.1344614764343408</c:v>
                </c:pt>
                <c:pt idx="76">
                  <c:v>3.1345154797599646</c:v>
                </c:pt>
                <c:pt idx="77">
                  <c:v>3.1345505718003901</c:v>
                </c:pt>
                <c:pt idx="78">
                  <c:v>3.1345746498368321</c:v>
                </c:pt>
                <c:pt idx="79">
                  <c:v>3.1345918822325411</c:v>
                </c:pt>
                <c:pt idx="80">
                  <c:v>3.1346046373703387</c:v>
                </c:pt>
                <c:pt idx="81">
                  <c:v>3.13461434161254</c:v>
                </c:pt>
                <c:pt idx="82">
                  <c:v>3.1346218955377236</c:v>
                </c:pt>
                <c:pt idx="83">
                  <c:v>3.1346278904319687</c:v>
                </c:pt>
                <c:pt idx="84">
                  <c:v>3.134632727507173</c:v>
                </c:pt>
                <c:pt idx="85">
                  <c:v>3.1346366867643596</c:v>
                </c:pt>
                <c:pt idx="86">
                  <c:v>3.1346399684175004</c:v>
                </c:pt>
                <c:pt idx="87">
                  <c:v>3.1346427186965178</c:v>
                </c:pt>
                <c:pt idx="88">
                  <c:v>3.1346450464155513</c:v>
                </c:pt>
                <c:pt idx="89">
                  <c:v>3.1346470338989612</c:v>
                </c:pt>
                <c:pt idx="90">
                  <c:v>3.1346487443586479</c:v>
                </c:pt>
                <c:pt idx="91">
                  <c:v>3.134650226981226</c:v>
                </c:pt>
                <c:pt idx="92">
                  <c:v>3.1346515205028762</c:v>
                </c:pt>
                <c:pt idx="93">
                  <c:v>3.1346526557646754</c:v>
                </c:pt>
                <c:pt idx="94">
                  <c:v>3.1346536575676267</c:v>
                </c:pt>
                <c:pt idx="95">
                  <c:v>3.1346545460384383</c:v>
                </c:pt>
                <c:pt idx="96">
                  <c:v>3.1346553376481285</c:v>
                </c:pt>
                <c:pt idx="97">
                  <c:v>3.1346582465258712</c:v>
                </c:pt>
                <c:pt idx="98">
                  <c:v>3.1346600581747595</c:v>
                </c:pt>
                <c:pt idx="99">
                  <c:v>3.1346612622979344</c:v>
                </c:pt>
                <c:pt idx="100">
                  <c:v>3.1346621030219146</c:v>
                </c:pt>
                <c:pt idx="101">
                  <c:v>3.1346627131189799</c:v>
                </c:pt>
                <c:pt idx="102">
                  <c:v>3.134663169830997</c:v>
                </c:pt>
                <c:pt idx="103">
                  <c:v>3.1346635205755176</c:v>
                </c:pt>
                <c:pt idx="104">
                  <c:v>3.1346637957685202</c:v>
                </c:pt>
                <c:pt idx="105">
                  <c:v>3.1346640156475116</c:v>
                </c:pt>
                <c:pt idx="106">
                  <c:v>3.1346641941012559</c:v>
                </c:pt>
                <c:pt idx="107">
                  <c:v>3.1346643409180381</c:v>
                </c:pt>
                <c:pt idx="108">
                  <c:v>3.1346644631570424</c:v>
                </c:pt>
                <c:pt idx="109">
                  <c:v>3.134664566012999</c:v>
                </c:pt>
                <c:pt idx="110">
                  <c:v>3.1346646533773761</c:v>
                </c:pt>
                <c:pt idx="111">
                  <c:v>3.1346647282118894</c:v>
                </c:pt>
                <c:pt idx="112">
                  <c:v>3.1346647928028686</c:v>
                </c:pt>
                <c:pt idx="113">
                  <c:v>3.1346648489379829</c:v>
                </c:pt>
                <c:pt idx="114">
                  <c:v>3.134664898031319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0C-4B21-926A-9A95021D6B33}"/>
            </c:ext>
          </c:extLst>
        </c:ser>
        <c:ser>
          <c:idx val="1"/>
          <c:order val="2"/>
          <c:tx>
            <c:v>m=3, k=min1(0.407)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'[1]Sheet2_2 (3_m1)'!$D$3:$D$117</c:f>
              <c:numCache>
                <c:formatCode>General</c:formatCode>
                <c:ptCount val="115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1.5833333333333335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1.8333333333333335</c:v>
                </c:pt>
                <c:pt idx="23">
                  <c:v>1.9166666666666665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35</c:v>
                </c:pt>
                <c:pt idx="98">
                  <c:v>40</c:v>
                </c:pt>
                <c:pt idx="99">
                  <c:v>45</c:v>
                </c:pt>
                <c:pt idx="100">
                  <c:v>50</c:v>
                </c:pt>
                <c:pt idx="101">
                  <c:v>55</c:v>
                </c:pt>
                <c:pt idx="102">
                  <c:v>60</c:v>
                </c:pt>
                <c:pt idx="103">
                  <c:v>65</c:v>
                </c:pt>
                <c:pt idx="104">
                  <c:v>70</c:v>
                </c:pt>
                <c:pt idx="105">
                  <c:v>75</c:v>
                </c:pt>
                <c:pt idx="106">
                  <c:v>80</c:v>
                </c:pt>
                <c:pt idx="107">
                  <c:v>85</c:v>
                </c:pt>
                <c:pt idx="108">
                  <c:v>90</c:v>
                </c:pt>
                <c:pt idx="109">
                  <c:v>95</c:v>
                </c:pt>
                <c:pt idx="110">
                  <c:v>100</c:v>
                </c:pt>
                <c:pt idx="111">
                  <c:v>105</c:v>
                </c:pt>
                <c:pt idx="112">
                  <c:v>110</c:v>
                </c:pt>
                <c:pt idx="113">
                  <c:v>115</c:v>
                </c:pt>
                <c:pt idx="114">
                  <c:v>120</c:v>
                </c:pt>
              </c:numCache>
            </c:numRef>
          </c:xVal>
          <c:yVal>
            <c:numRef>
              <c:f>'[1]Sheet2_2 (3_m1)'!$F$3:$F$117</c:f>
              <c:numCache>
                <c:formatCode>General</c:formatCode>
                <c:ptCount val="115"/>
                <c:pt idx="0">
                  <c:v>0</c:v>
                </c:pt>
                <c:pt idx="1">
                  <c:v>9.9776970356995065E-2</c:v>
                </c:pt>
                <c:pt idx="2">
                  <c:v>0.19915746692355363</c:v>
                </c:pt>
                <c:pt idx="3">
                  <c:v>0.29811400155536072</c:v>
                </c:pt>
                <c:pt idx="4">
                  <c:v>0.39661705366389466</c:v>
                </c:pt>
                <c:pt idx="5">
                  <c:v>0.49463493615681298</c:v>
                </c:pt>
                <c:pt idx="6">
                  <c:v>0.5921336584688448</c:v>
                </c:pt>
                <c:pt idx="7">
                  <c:v>0.68907678823686513</c:v>
                </c:pt>
                <c:pt idx="8">
                  <c:v>0.78542531361922219</c:v>
                </c:pt>
                <c:pt idx="9">
                  <c:v>0.8811375087777038</c:v>
                </c:pt>
                <c:pt idx="10">
                  <c:v>0.97616880563324626</c:v>
                </c:pt>
                <c:pt idx="11">
                  <c:v>1.0704716756727959</c:v>
                </c:pt>
                <c:pt idx="12">
                  <c:v>1.1639955263188662</c:v>
                </c:pt>
                <c:pt idx="13">
                  <c:v>1.2566866171632984</c:v>
                </c:pt>
                <c:pt idx="14">
                  <c:v>1.348488002192002</c:v>
                </c:pt>
                <c:pt idx="15">
                  <c:v>1.4393395049569584</c:v>
                </c:pt>
                <c:pt idx="16">
                  <c:v>1.529177734442043</c:v>
                </c:pt>
                <c:pt idx="17">
                  <c:v>1.6179361500622855</c:v>
                </c:pt>
                <c:pt idx="18">
                  <c:v>1.7055451847588752</c:v>
                </c:pt>
                <c:pt idx="19">
                  <c:v>1.7919324354158852</c:v>
                </c:pt>
                <c:pt idx="20">
                  <c:v>1.8770229297275149</c:v>
                </c:pt>
                <c:pt idx="21">
                  <c:v>1.9607394780756184</c:v>
                </c:pt>
                <c:pt idx="22">
                  <c:v>2.0430031178239352</c:v>
                </c:pt>
                <c:pt idx="23">
                  <c:v>2.1237336555945663</c:v>
                </c:pt>
                <c:pt idx="24">
                  <c:v>2.202850310484489</c:v>
                </c:pt>
                <c:pt idx="25">
                  <c:v>2.2802724577671247</c:v>
                </c:pt>
                <c:pt idx="26">
                  <c:v>2.3559204684284341</c:v>
                </c:pt>
                <c:pt idx="27">
                  <c:v>2.4297166350091963</c:v>
                </c:pt>
                <c:pt idx="28">
                  <c:v>2.5015861688584091</c:v>
                </c:pt>
                <c:pt idx="29">
                  <c:v>2.5714582483388844</c:v>
                </c:pt>
                <c:pt idx="30">
                  <c:v>2.6392670921495429</c:v>
                </c:pt>
                <c:pt idx="31">
                  <c:v>2.7049530271953959</c:v>
                </c:pt>
                <c:pt idx="32">
                  <c:v>2.7684635168350882</c:v>
                </c:pt>
                <c:pt idx="33">
                  <c:v>2.8297541133377693</c:v>
                </c:pt>
                <c:pt idx="34">
                  <c:v>2.8887892983760506</c:v>
                </c:pt>
                <c:pt idx="35">
                  <c:v>2.9455431776169823</c:v>
                </c:pt>
                <c:pt idx="36">
                  <c:v>3</c:v>
                </c:pt>
                <c:pt idx="37">
                  <c:v>3.0521544789349178</c:v>
                </c:pt>
                <c:pt idx="38">
                  <c:v>3.1020119010119216</c:v>
                </c:pt>
                <c:pt idx="39">
                  <c:v>3.1495880172915762</c:v>
                </c:pt>
                <c:pt idx="40">
                  <c:v>3.1949087221068302</c:v>
                </c:pt>
                <c:pt idx="41">
                  <c:v>3.2380095337850729</c:v>
                </c:pt>
                <c:pt idx="42">
                  <c:v>3.2789349000571564</c:v>
                </c:pt>
                <c:pt idx="43">
                  <c:v>3.3177373575644333</c:v>
                </c:pt>
                <c:pt idx="44">
                  <c:v>3.3544765794018936</c:v>
                </c:pt>
                <c:pt idx="45">
                  <c:v>3.3892183468706163</c:v>
                </c:pt>
                <c:pt idx="46">
                  <c:v>3.42203348160779</c:v>
                </c:pt>
                <c:pt idx="47">
                  <c:v>3.4529967722644157</c:v>
                </c:pt>
                <c:pt idx="48">
                  <c:v>3.4821859262997155</c:v>
                </c:pt>
                <c:pt idx="49">
                  <c:v>3.5096805727277287</c:v>
                </c:pt>
                <c:pt idx="50">
                  <c:v>3.5355613362750322</c:v>
                </c:pt>
                <c:pt idx="51">
                  <c:v>3.5599089978446514</c:v>
                </c:pt>
                <c:pt idx="52">
                  <c:v>3.5828037508144837</c:v>
                </c:pt>
                <c:pt idx="53">
                  <c:v>3.6043245578207892</c:v>
                </c:pt>
                <c:pt idx="54">
                  <c:v>3.6245486084817147</c:v>
                </c:pt>
                <c:pt idx="55">
                  <c:v>3.6435508751030605</c:v>
                </c:pt>
                <c:pt idx="56">
                  <c:v>3.6614037608007539</c:v>
                </c:pt>
                <c:pt idx="57">
                  <c:v>3.6781768326336048</c:v>
                </c:pt>
                <c:pt idx="58">
                  <c:v>3.6939366311865838</c:v>
                </c:pt>
                <c:pt idx="59">
                  <c:v>3.7087465474758163</c:v>
                </c:pt>
                <c:pt idx="60">
                  <c:v>3.7226667579493191</c:v>
                </c:pt>
                <c:pt idx="61">
                  <c:v>3.7357542086211843</c:v>
                </c:pt>
                <c:pt idx="62">
                  <c:v>3.7480626398995702</c:v>
                </c:pt>
                <c:pt idx="63">
                  <c:v>3.7596426443619637</c:v>
                </c:pt>
                <c:pt idx="64">
                  <c:v>3.7705417505214172</c:v>
                </c:pt>
                <c:pt idx="65">
                  <c:v>3.7808045264569952</c:v>
                </c:pt>
                <c:pt idx="66">
                  <c:v>3.7904726980069108</c:v>
                </c:pt>
                <c:pt idx="67">
                  <c:v>3.7995852770128149</c:v>
                </c:pt>
                <c:pt idx="68">
                  <c:v>3.8081786958378316</c:v>
                </c:pt>
                <c:pt idx="69">
                  <c:v>3.8162869450472332</c:v>
                </c:pt>
                <c:pt idx="70">
                  <c:v>3.8239417117333621</c:v>
                </c:pt>
                <c:pt idx="71">
                  <c:v>3.831172516484739</c:v>
                </c:pt>
                <c:pt idx="72">
                  <c:v>3.8380068474456799</c:v>
                </c:pt>
                <c:pt idx="73">
                  <c:v>3.8968489565241957</c:v>
                </c:pt>
                <c:pt idx="74">
                  <c:v>3.929543328922517</c:v>
                </c:pt>
                <c:pt idx="75">
                  <c:v>3.9491820948058294</c:v>
                </c:pt>
                <c:pt idx="76">
                  <c:v>3.9617642227544181</c:v>
                </c:pt>
                <c:pt idx="77">
                  <c:v>3.9702569571704434</c:v>
                </c:pt>
                <c:pt idx="78">
                  <c:v>3.9762371536765864</c:v>
                </c:pt>
                <c:pt idx="79">
                  <c:v>3.9805967153549124</c:v>
                </c:pt>
                <c:pt idx="80">
                  <c:v>3.9838676218614841</c:v>
                </c:pt>
                <c:pt idx="81">
                  <c:v>3.9863817986879959</c:v>
                </c:pt>
                <c:pt idx="82">
                  <c:v>3.988354460550092</c:v>
                </c:pt>
                <c:pt idx="83">
                  <c:v>3.9899298295480481</c:v>
                </c:pt>
                <c:pt idx="84">
                  <c:v>3.9912073527673373</c:v>
                </c:pt>
                <c:pt idx="85">
                  <c:v>3.9922573321684158</c:v>
                </c:pt>
                <c:pt idx="86">
                  <c:v>3.9931305655724847</c:v>
                </c:pt>
                <c:pt idx="87">
                  <c:v>3.9938644751564798</c:v>
                </c:pt>
                <c:pt idx="88">
                  <c:v>3.9944871086079932</c:v>
                </c:pt>
                <c:pt idx="89">
                  <c:v>3.9950198144076792</c:v>
                </c:pt>
                <c:pt idx="90">
                  <c:v>3.9954790692669371</c:v>
                </c:pt>
                <c:pt idx="91">
                  <c:v>3.9958777507239756</c:v>
                </c:pt>
                <c:pt idx="92">
                  <c:v>3.996226038973778</c:v>
                </c:pt>
                <c:pt idx="93">
                  <c:v>3.9965320661893418</c:v>
                </c:pt>
                <c:pt idx="94">
                  <c:v>3.9968023908697035</c:v>
                </c:pt>
                <c:pt idx="95">
                  <c:v>3.9970423490055187</c:v>
                </c:pt>
                <c:pt idx="96">
                  <c:v>3.9972563172518192</c:v>
                </c:pt>
                <c:pt idx="97">
                  <c:v>3.9980439551585913</c:v>
                </c:pt>
                <c:pt idx="98">
                  <c:v>3.9985355977493651</c:v>
                </c:pt>
                <c:pt idx="99">
                  <c:v>3.9988628403273161</c:v>
                </c:pt>
                <c:pt idx="100">
                  <c:v>3.9990915452220164</c:v>
                </c:pt>
                <c:pt idx="101">
                  <c:v>3.9992576267701958</c:v>
                </c:pt>
                <c:pt idx="102">
                  <c:v>3.9993820168935068</c:v>
                </c:pt>
                <c:pt idx="103">
                  <c:v>3.99947758251772</c:v>
                </c:pt>
                <c:pt idx="104">
                  <c:v>3.9995525853993739</c:v>
                </c:pt>
                <c:pt idx="105">
                  <c:v>3.999612526809146</c:v>
                </c:pt>
                <c:pt idx="106">
                  <c:v>3.9996611845002787</c:v>
                </c:pt>
                <c:pt idx="107">
                  <c:v>3.9997012221887034</c:v>
                </c:pt>
                <c:pt idx="108">
                  <c:v>3.9997345616743667</c:v>
                </c:pt>
                <c:pt idx="109">
                  <c:v>3.9997626176436039</c:v>
                </c:pt>
                <c:pt idx="110">
                  <c:v>3.9997864501466269</c:v>
                </c:pt>
                <c:pt idx="111">
                  <c:v>3.9998068661550579</c:v>
                </c:pt>
                <c:pt idx="112">
                  <c:v>3.9998244887435348</c:v>
                </c:pt>
                <c:pt idx="113">
                  <c:v>3.9998398051745689</c:v>
                </c:pt>
                <c:pt idx="114">
                  <c:v>3.9998532009305223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40C-4B21-926A-9A95021D6B33}"/>
            </c:ext>
          </c:extLst>
        </c:ser>
        <c:ser>
          <c:idx val="0"/>
          <c:order val="3"/>
          <c:tx>
            <c:v>m=3, k=10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'[1]Sheet2_3 (3_inf)'!$D$3:$D$117</c:f>
              <c:numCache>
                <c:formatCode>General</c:formatCode>
                <c:ptCount val="115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1.5833333333333335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1.8333333333333335</c:v>
                </c:pt>
                <c:pt idx="23">
                  <c:v>1.9166666666666665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35</c:v>
                </c:pt>
                <c:pt idx="98">
                  <c:v>40</c:v>
                </c:pt>
                <c:pt idx="99">
                  <c:v>45</c:v>
                </c:pt>
                <c:pt idx="100">
                  <c:v>50</c:v>
                </c:pt>
                <c:pt idx="101">
                  <c:v>55</c:v>
                </c:pt>
                <c:pt idx="102">
                  <c:v>60</c:v>
                </c:pt>
                <c:pt idx="103">
                  <c:v>65</c:v>
                </c:pt>
                <c:pt idx="104">
                  <c:v>70</c:v>
                </c:pt>
                <c:pt idx="105">
                  <c:v>75</c:v>
                </c:pt>
                <c:pt idx="106">
                  <c:v>80</c:v>
                </c:pt>
                <c:pt idx="107">
                  <c:v>85</c:v>
                </c:pt>
                <c:pt idx="108">
                  <c:v>90</c:v>
                </c:pt>
                <c:pt idx="109">
                  <c:v>95</c:v>
                </c:pt>
                <c:pt idx="110">
                  <c:v>100</c:v>
                </c:pt>
                <c:pt idx="111">
                  <c:v>105</c:v>
                </c:pt>
                <c:pt idx="112">
                  <c:v>110</c:v>
                </c:pt>
                <c:pt idx="113">
                  <c:v>115</c:v>
                </c:pt>
                <c:pt idx="114">
                  <c:v>120</c:v>
                </c:pt>
              </c:numCache>
            </c:numRef>
          </c:xVal>
          <c:yVal>
            <c:numRef>
              <c:f>'[1]Sheet2_3 (3_inf)'!$F$3:$F$117</c:f>
              <c:numCache>
                <c:formatCode>General</c:formatCode>
                <c:ptCount val="115"/>
                <c:pt idx="0">
                  <c:v>0</c:v>
                </c:pt>
                <c:pt idx="1">
                  <c:v>8.3333334217527089E-2</c:v>
                </c:pt>
                <c:pt idx="2">
                  <c:v>0.16666666843505462</c:v>
                </c:pt>
                <c:pt idx="3">
                  <c:v>0.25000000265258215</c:v>
                </c:pt>
                <c:pt idx="4">
                  <c:v>0.33333333687010969</c:v>
                </c:pt>
                <c:pt idx="5">
                  <c:v>0.41666667108763678</c:v>
                </c:pt>
                <c:pt idx="6">
                  <c:v>0.50000000530516431</c:v>
                </c:pt>
                <c:pt idx="7">
                  <c:v>0.58333333952269184</c:v>
                </c:pt>
                <c:pt idx="8">
                  <c:v>0.66666667374021937</c:v>
                </c:pt>
                <c:pt idx="9">
                  <c:v>0.75000000795774691</c:v>
                </c:pt>
                <c:pt idx="10">
                  <c:v>0.83333334217527444</c:v>
                </c:pt>
                <c:pt idx="11">
                  <c:v>0.91666667639280153</c:v>
                </c:pt>
                <c:pt idx="12">
                  <c:v>1.0000000106103295</c:v>
                </c:pt>
                <c:pt idx="13">
                  <c:v>1.083333344827857</c:v>
                </c:pt>
                <c:pt idx="14">
                  <c:v>1.1666666790453843</c:v>
                </c:pt>
                <c:pt idx="15">
                  <c:v>1.2500000132629119</c:v>
                </c:pt>
                <c:pt idx="16">
                  <c:v>1.3333333474804394</c:v>
                </c:pt>
                <c:pt idx="17">
                  <c:v>1.4166666816979667</c:v>
                </c:pt>
                <c:pt idx="18">
                  <c:v>1.5000000159154943</c:v>
                </c:pt>
                <c:pt idx="19">
                  <c:v>1.583333350133022</c:v>
                </c:pt>
                <c:pt idx="20">
                  <c:v>1.6666666843505491</c:v>
                </c:pt>
                <c:pt idx="21">
                  <c:v>1.7500000185680769</c:v>
                </c:pt>
                <c:pt idx="22">
                  <c:v>1.8333333527856044</c:v>
                </c:pt>
                <c:pt idx="23">
                  <c:v>1.9166666870031315</c:v>
                </c:pt>
                <c:pt idx="24">
                  <c:v>2.000000021220659</c:v>
                </c:pt>
                <c:pt idx="25">
                  <c:v>2.083333355438187</c:v>
                </c:pt>
                <c:pt idx="26">
                  <c:v>2.1666666896557141</c:v>
                </c:pt>
                <c:pt idx="27">
                  <c:v>2.2500000238732416</c:v>
                </c:pt>
                <c:pt idx="28">
                  <c:v>2.3333333580907691</c:v>
                </c:pt>
                <c:pt idx="29">
                  <c:v>2.4166666923082962</c:v>
                </c:pt>
                <c:pt idx="30">
                  <c:v>2.5000000265258242</c:v>
                </c:pt>
                <c:pt idx="31">
                  <c:v>2.5833333607433517</c:v>
                </c:pt>
                <c:pt idx="32">
                  <c:v>2.6666666949608788</c:v>
                </c:pt>
                <c:pt idx="33">
                  <c:v>2.7500000291784064</c:v>
                </c:pt>
                <c:pt idx="34">
                  <c:v>2.8333333633959343</c:v>
                </c:pt>
                <c:pt idx="35">
                  <c:v>2.9166666976134614</c:v>
                </c:pt>
                <c:pt idx="36">
                  <c:v>3</c:v>
                </c:pt>
                <c:pt idx="37">
                  <c:v>3.000000031830989</c:v>
                </c:pt>
                <c:pt idx="38">
                  <c:v>3.000000031830989</c:v>
                </c:pt>
                <c:pt idx="39">
                  <c:v>3.000000031830989</c:v>
                </c:pt>
                <c:pt idx="40">
                  <c:v>3.000000031830989</c:v>
                </c:pt>
                <c:pt idx="41">
                  <c:v>3.000000031830989</c:v>
                </c:pt>
                <c:pt idx="42">
                  <c:v>3.000000031830989</c:v>
                </c:pt>
                <c:pt idx="43">
                  <c:v>3.000000031830989</c:v>
                </c:pt>
                <c:pt idx="44">
                  <c:v>3.000000031830989</c:v>
                </c:pt>
                <c:pt idx="45">
                  <c:v>3.000000031830989</c:v>
                </c:pt>
                <c:pt idx="46">
                  <c:v>3.000000031830989</c:v>
                </c:pt>
                <c:pt idx="47">
                  <c:v>3.000000031830989</c:v>
                </c:pt>
                <c:pt idx="48">
                  <c:v>3.000000031830989</c:v>
                </c:pt>
                <c:pt idx="49">
                  <c:v>3.000000031830989</c:v>
                </c:pt>
                <c:pt idx="50">
                  <c:v>3.000000031830989</c:v>
                </c:pt>
                <c:pt idx="51">
                  <c:v>3.000000031830989</c:v>
                </c:pt>
                <c:pt idx="52">
                  <c:v>3.000000031830989</c:v>
                </c:pt>
                <c:pt idx="53">
                  <c:v>3.000000031830989</c:v>
                </c:pt>
                <c:pt idx="54">
                  <c:v>3.000000031830989</c:v>
                </c:pt>
                <c:pt idx="55">
                  <c:v>3.000000031830989</c:v>
                </c:pt>
                <c:pt idx="56">
                  <c:v>3.000000031830989</c:v>
                </c:pt>
                <c:pt idx="57">
                  <c:v>3.000000031830989</c:v>
                </c:pt>
                <c:pt idx="58">
                  <c:v>3.000000031830989</c:v>
                </c:pt>
                <c:pt idx="59">
                  <c:v>3.000000031830989</c:v>
                </c:pt>
                <c:pt idx="60">
                  <c:v>3.000000031830989</c:v>
                </c:pt>
                <c:pt idx="61">
                  <c:v>3.000000031830989</c:v>
                </c:pt>
                <c:pt idx="62">
                  <c:v>3.000000031830989</c:v>
                </c:pt>
                <c:pt idx="63">
                  <c:v>3.000000031830989</c:v>
                </c:pt>
                <c:pt idx="64">
                  <c:v>3.000000031830989</c:v>
                </c:pt>
                <c:pt idx="65">
                  <c:v>3.000000031830989</c:v>
                </c:pt>
                <c:pt idx="66">
                  <c:v>3.000000031830989</c:v>
                </c:pt>
                <c:pt idx="67">
                  <c:v>3.000000031830989</c:v>
                </c:pt>
                <c:pt idx="68">
                  <c:v>3.000000031830989</c:v>
                </c:pt>
                <c:pt idx="69">
                  <c:v>3.000000031830989</c:v>
                </c:pt>
                <c:pt idx="70">
                  <c:v>3.000000031830989</c:v>
                </c:pt>
                <c:pt idx="71">
                  <c:v>3.000000031830989</c:v>
                </c:pt>
                <c:pt idx="72">
                  <c:v>3.000000031830989</c:v>
                </c:pt>
                <c:pt idx="73">
                  <c:v>3.0000000318309885</c:v>
                </c:pt>
                <c:pt idx="74">
                  <c:v>3.000000031830989</c:v>
                </c:pt>
                <c:pt idx="75">
                  <c:v>3.000000031830989</c:v>
                </c:pt>
                <c:pt idx="76">
                  <c:v>3.0000000318309885</c:v>
                </c:pt>
                <c:pt idx="77">
                  <c:v>3.000000031830989</c:v>
                </c:pt>
                <c:pt idx="78">
                  <c:v>3.0000000318309894</c:v>
                </c:pt>
                <c:pt idx="79">
                  <c:v>3.000000031830989</c:v>
                </c:pt>
                <c:pt idx="80">
                  <c:v>3.0000000318309894</c:v>
                </c:pt>
                <c:pt idx="81">
                  <c:v>3.000000031830989</c:v>
                </c:pt>
                <c:pt idx="82">
                  <c:v>3.000000031830989</c:v>
                </c:pt>
                <c:pt idx="83">
                  <c:v>3.0000000318309885</c:v>
                </c:pt>
                <c:pt idx="84">
                  <c:v>3.0000000318309881</c:v>
                </c:pt>
                <c:pt idx="85">
                  <c:v>3.0000000318309881</c:v>
                </c:pt>
                <c:pt idx="86">
                  <c:v>3.0000000318309885</c:v>
                </c:pt>
                <c:pt idx="87">
                  <c:v>3.0000000318309894</c:v>
                </c:pt>
                <c:pt idx="88">
                  <c:v>3.0000000318309885</c:v>
                </c:pt>
                <c:pt idx="89">
                  <c:v>3.0000000318309881</c:v>
                </c:pt>
                <c:pt idx="90">
                  <c:v>3.0000000318309876</c:v>
                </c:pt>
                <c:pt idx="91">
                  <c:v>3.0000000318309881</c:v>
                </c:pt>
                <c:pt idx="92">
                  <c:v>3.0000000318309885</c:v>
                </c:pt>
                <c:pt idx="93">
                  <c:v>3.0000000318309876</c:v>
                </c:pt>
                <c:pt idx="94">
                  <c:v>3.0000000318309881</c:v>
                </c:pt>
                <c:pt idx="95">
                  <c:v>3.000000031830989</c:v>
                </c:pt>
                <c:pt idx="96">
                  <c:v>3.0000000318309876</c:v>
                </c:pt>
                <c:pt idx="97">
                  <c:v>3.0000000318309898</c:v>
                </c:pt>
                <c:pt idx="98">
                  <c:v>3.0000000318309894</c:v>
                </c:pt>
                <c:pt idx="99">
                  <c:v>3.0000000318309876</c:v>
                </c:pt>
                <c:pt idx="100">
                  <c:v>3.0000000318309894</c:v>
                </c:pt>
                <c:pt idx="101">
                  <c:v>3.0000000318309863</c:v>
                </c:pt>
                <c:pt idx="102">
                  <c:v>3.0000000318309894</c:v>
                </c:pt>
                <c:pt idx="103">
                  <c:v>3.0000000318309854</c:v>
                </c:pt>
                <c:pt idx="104">
                  <c:v>3.0000000318309872</c:v>
                </c:pt>
                <c:pt idx="105">
                  <c:v>3.0000000318309863</c:v>
                </c:pt>
                <c:pt idx="106">
                  <c:v>3.0000000318309823</c:v>
                </c:pt>
                <c:pt idx="107">
                  <c:v>3.0000000318309823</c:v>
                </c:pt>
                <c:pt idx="108">
                  <c:v>3.000000031830985</c:v>
                </c:pt>
                <c:pt idx="109">
                  <c:v>3.0000000318309898</c:v>
                </c:pt>
                <c:pt idx="110">
                  <c:v>3.0000000318309872</c:v>
                </c:pt>
                <c:pt idx="111">
                  <c:v>3.0000000318309801</c:v>
                </c:pt>
                <c:pt idx="112">
                  <c:v>3.0000000318309823</c:v>
                </c:pt>
                <c:pt idx="113">
                  <c:v>3.0000000318309845</c:v>
                </c:pt>
                <c:pt idx="114">
                  <c:v>3.0000000318309863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40C-4B21-926A-9A95021D6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464416"/>
        <c:axId val="1535455776"/>
      </c:scatterChart>
      <c:valAx>
        <c:axId val="1535464416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55776"/>
        <c:crosses val="autoZero"/>
        <c:crossBetween val="midCat"/>
      </c:valAx>
      <c:valAx>
        <c:axId val="153545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64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年齢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v>m=3, k=inf(10000000)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'[1]Sheet2_3 (3_inf)'!$D$3:$D$117</c:f>
              <c:numCache>
                <c:formatCode>General</c:formatCode>
                <c:ptCount val="115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1.5833333333333335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1.8333333333333335</c:v>
                </c:pt>
                <c:pt idx="23">
                  <c:v>1.9166666666666665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35</c:v>
                </c:pt>
                <c:pt idx="98">
                  <c:v>40</c:v>
                </c:pt>
                <c:pt idx="99">
                  <c:v>45</c:v>
                </c:pt>
                <c:pt idx="100">
                  <c:v>50</c:v>
                </c:pt>
                <c:pt idx="101">
                  <c:v>55</c:v>
                </c:pt>
                <c:pt idx="102">
                  <c:v>60</c:v>
                </c:pt>
                <c:pt idx="103">
                  <c:v>65</c:v>
                </c:pt>
                <c:pt idx="104">
                  <c:v>70</c:v>
                </c:pt>
                <c:pt idx="105">
                  <c:v>75</c:v>
                </c:pt>
                <c:pt idx="106">
                  <c:v>80</c:v>
                </c:pt>
                <c:pt idx="107">
                  <c:v>85</c:v>
                </c:pt>
                <c:pt idx="108">
                  <c:v>90</c:v>
                </c:pt>
                <c:pt idx="109">
                  <c:v>95</c:v>
                </c:pt>
                <c:pt idx="110">
                  <c:v>100</c:v>
                </c:pt>
                <c:pt idx="111">
                  <c:v>105</c:v>
                </c:pt>
                <c:pt idx="112">
                  <c:v>110</c:v>
                </c:pt>
                <c:pt idx="113">
                  <c:v>115</c:v>
                </c:pt>
                <c:pt idx="114">
                  <c:v>120</c:v>
                </c:pt>
              </c:numCache>
            </c:numRef>
          </c:xVal>
          <c:yVal>
            <c:numRef>
              <c:f>'[1]Sheet2_3 (3_inf)'!$F$3:$F$117</c:f>
              <c:numCache>
                <c:formatCode>General</c:formatCode>
                <c:ptCount val="115"/>
                <c:pt idx="0">
                  <c:v>0</c:v>
                </c:pt>
                <c:pt idx="1">
                  <c:v>8.3333334217527089E-2</c:v>
                </c:pt>
                <c:pt idx="2">
                  <c:v>0.16666666843505462</c:v>
                </c:pt>
                <c:pt idx="3">
                  <c:v>0.25000000265258215</c:v>
                </c:pt>
                <c:pt idx="4">
                  <c:v>0.33333333687010969</c:v>
                </c:pt>
                <c:pt idx="5">
                  <c:v>0.41666667108763678</c:v>
                </c:pt>
                <c:pt idx="6">
                  <c:v>0.50000000530516431</c:v>
                </c:pt>
                <c:pt idx="7">
                  <c:v>0.58333333952269184</c:v>
                </c:pt>
                <c:pt idx="8">
                  <c:v>0.66666667374021937</c:v>
                </c:pt>
                <c:pt idx="9">
                  <c:v>0.75000000795774691</c:v>
                </c:pt>
                <c:pt idx="10">
                  <c:v>0.83333334217527444</c:v>
                </c:pt>
                <c:pt idx="11">
                  <c:v>0.91666667639280153</c:v>
                </c:pt>
                <c:pt idx="12">
                  <c:v>1.0000000106103295</c:v>
                </c:pt>
                <c:pt idx="13">
                  <c:v>1.083333344827857</c:v>
                </c:pt>
                <c:pt idx="14">
                  <c:v>1.1666666790453843</c:v>
                </c:pt>
                <c:pt idx="15">
                  <c:v>1.2500000132629119</c:v>
                </c:pt>
                <c:pt idx="16">
                  <c:v>1.3333333474804394</c:v>
                </c:pt>
                <c:pt idx="17">
                  <c:v>1.4166666816979667</c:v>
                </c:pt>
                <c:pt idx="18">
                  <c:v>1.5000000159154943</c:v>
                </c:pt>
                <c:pt idx="19">
                  <c:v>1.583333350133022</c:v>
                </c:pt>
                <c:pt idx="20">
                  <c:v>1.6666666843505491</c:v>
                </c:pt>
                <c:pt idx="21">
                  <c:v>1.7500000185680769</c:v>
                </c:pt>
                <c:pt idx="22">
                  <c:v>1.8333333527856044</c:v>
                </c:pt>
                <c:pt idx="23">
                  <c:v>1.9166666870031315</c:v>
                </c:pt>
                <c:pt idx="24">
                  <c:v>2.000000021220659</c:v>
                </c:pt>
                <c:pt idx="25">
                  <c:v>2.083333355438187</c:v>
                </c:pt>
                <c:pt idx="26">
                  <c:v>2.1666666896557141</c:v>
                </c:pt>
                <c:pt idx="27">
                  <c:v>2.2500000238732416</c:v>
                </c:pt>
                <c:pt idx="28">
                  <c:v>2.3333333580907691</c:v>
                </c:pt>
                <c:pt idx="29">
                  <c:v>2.4166666923082962</c:v>
                </c:pt>
                <c:pt idx="30">
                  <c:v>2.5000000265258242</c:v>
                </c:pt>
                <c:pt idx="31">
                  <c:v>2.5833333607433517</c:v>
                </c:pt>
                <c:pt idx="32">
                  <c:v>2.6666666949608788</c:v>
                </c:pt>
                <c:pt idx="33">
                  <c:v>2.7500000291784064</c:v>
                </c:pt>
                <c:pt idx="34">
                  <c:v>2.8333333633959343</c:v>
                </c:pt>
                <c:pt idx="35">
                  <c:v>2.9166666976134614</c:v>
                </c:pt>
                <c:pt idx="36">
                  <c:v>3</c:v>
                </c:pt>
                <c:pt idx="37">
                  <c:v>3.000000031830989</c:v>
                </c:pt>
                <c:pt idx="38">
                  <c:v>3.000000031830989</c:v>
                </c:pt>
                <c:pt idx="39">
                  <c:v>3.000000031830989</c:v>
                </c:pt>
                <c:pt idx="40">
                  <c:v>3.000000031830989</c:v>
                </c:pt>
                <c:pt idx="41">
                  <c:v>3.000000031830989</c:v>
                </c:pt>
                <c:pt idx="42">
                  <c:v>3.000000031830989</c:v>
                </c:pt>
                <c:pt idx="43">
                  <c:v>3.000000031830989</c:v>
                </c:pt>
                <c:pt idx="44">
                  <c:v>3.000000031830989</c:v>
                </c:pt>
                <c:pt idx="45">
                  <c:v>3.000000031830989</c:v>
                </c:pt>
                <c:pt idx="46">
                  <c:v>3.000000031830989</c:v>
                </c:pt>
                <c:pt idx="47">
                  <c:v>3.000000031830989</c:v>
                </c:pt>
                <c:pt idx="48">
                  <c:v>3.000000031830989</c:v>
                </c:pt>
                <c:pt idx="49">
                  <c:v>3.000000031830989</c:v>
                </c:pt>
                <c:pt idx="50">
                  <c:v>3.000000031830989</c:v>
                </c:pt>
                <c:pt idx="51">
                  <c:v>3.000000031830989</c:v>
                </c:pt>
                <c:pt idx="52">
                  <c:v>3.000000031830989</c:v>
                </c:pt>
                <c:pt idx="53">
                  <c:v>3.000000031830989</c:v>
                </c:pt>
                <c:pt idx="54">
                  <c:v>3.000000031830989</c:v>
                </c:pt>
                <c:pt idx="55">
                  <c:v>3.000000031830989</c:v>
                </c:pt>
                <c:pt idx="56">
                  <c:v>3.000000031830989</c:v>
                </c:pt>
                <c:pt idx="57">
                  <c:v>3.000000031830989</c:v>
                </c:pt>
                <c:pt idx="58">
                  <c:v>3.000000031830989</c:v>
                </c:pt>
                <c:pt idx="59">
                  <c:v>3.000000031830989</c:v>
                </c:pt>
                <c:pt idx="60">
                  <c:v>3.000000031830989</c:v>
                </c:pt>
                <c:pt idx="61">
                  <c:v>3.000000031830989</c:v>
                </c:pt>
                <c:pt idx="62">
                  <c:v>3.000000031830989</c:v>
                </c:pt>
                <c:pt idx="63">
                  <c:v>3.000000031830989</c:v>
                </c:pt>
                <c:pt idx="64">
                  <c:v>3.000000031830989</c:v>
                </c:pt>
                <c:pt idx="65">
                  <c:v>3.000000031830989</c:v>
                </c:pt>
                <c:pt idx="66">
                  <c:v>3.000000031830989</c:v>
                </c:pt>
                <c:pt idx="67">
                  <c:v>3.000000031830989</c:v>
                </c:pt>
                <c:pt idx="68">
                  <c:v>3.000000031830989</c:v>
                </c:pt>
                <c:pt idx="69">
                  <c:v>3.000000031830989</c:v>
                </c:pt>
                <c:pt idx="70">
                  <c:v>3.000000031830989</c:v>
                </c:pt>
                <c:pt idx="71">
                  <c:v>3.000000031830989</c:v>
                </c:pt>
                <c:pt idx="72">
                  <c:v>3.000000031830989</c:v>
                </c:pt>
                <c:pt idx="73">
                  <c:v>3.0000000318309885</c:v>
                </c:pt>
                <c:pt idx="74">
                  <c:v>3.000000031830989</c:v>
                </c:pt>
                <c:pt idx="75">
                  <c:v>3.000000031830989</c:v>
                </c:pt>
                <c:pt idx="76">
                  <c:v>3.0000000318309885</c:v>
                </c:pt>
                <c:pt idx="77">
                  <c:v>3.000000031830989</c:v>
                </c:pt>
                <c:pt idx="78">
                  <c:v>3.0000000318309894</c:v>
                </c:pt>
                <c:pt idx="79">
                  <c:v>3.000000031830989</c:v>
                </c:pt>
                <c:pt idx="80">
                  <c:v>3.0000000318309894</c:v>
                </c:pt>
                <c:pt idx="81">
                  <c:v>3.000000031830989</c:v>
                </c:pt>
                <c:pt idx="82">
                  <c:v>3.000000031830989</c:v>
                </c:pt>
                <c:pt idx="83">
                  <c:v>3.0000000318309885</c:v>
                </c:pt>
                <c:pt idx="84">
                  <c:v>3.0000000318309881</c:v>
                </c:pt>
                <c:pt idx="85">
                  <c:v>3.0000000318309881</c:v>
                </c:pt>
                <c:pt idx="86">
                  <c:v>3.0000000318309885</c:v>
                </c:pt>
                <c:pt idx="87">
                  <c:v>3.0000000318309894</c:v>
                </c:pt>
                <c:pt idx="88">
                  <c:v>3.0000000318309885</c:v>
                </c:pt>
                <c:pt idx="89">
                  <c:v>3.0000000318309881</c:v>
                </c:pt>
                <c:pt idx="90">
                  <c:v>3.0000000318309876</c:v>
                </c:pt>
                <c:pt idx="91">
                  <c:v>3.0000000318309881</c:v>
                </c:pt>
                <c:pt idx="92">
                  <c:v>3.0000000318309885</c:v>
                </c:pt>
                <c:pt idx="93">
                  <c:v>3.0000000318309876</c:v>
                </c:pt>
                <c:pt idx="94">
                  <c:v>3.0000000318309881</c:v>
                </c:pt>
                <c:pt idx="95">
                  <c:v>3.000000031830989</c:v>
                </c:pt>
                <c:pt idx="96">
                  <c:v>3.0000000318309876</c:v>
                </c:pt>
                <c:pt idx="97">
                  <c:v>3.0000000318309898</c:v>
                </c:pt>
                <c:pt idx="98">
                  <c:v>3.0000000318309894</c:v>
                </c:pt>
                <c:pt idx="99">
                  <c:v>3.0000000318309876</c:v>
                </c:pt>
                <c:pt idx="100">
                  <c:v>3.0000000318309894</c:v>
                </c:pt>
                <c:pt idx="101">
                  <c:v>3.0000000318309863</c:v>
                </c:pt>
                <c:pt idx="102">
                  <c:v>3.0000000318309894</c:v>
                </c:pt>
                <c:pt idx="103">
                  <c:v>3.0000000318309854</c:v>
                </c:pt>
                <c:pt idx="104">
                  <c:v>3.0000000318309872</c:v>
                </c:pt>
                <c:pt idx="105">
                  <c:v>3.0000000318309863</c:v>
                </c:pt>
                <c:pt idx="106">
                  <c:v>3.0000000318309823</c:v>
                </c:pt>
                <c:pt idx="107">
                  <c:v>3.0000000318309823</c:v>
                </c:pt>
                <c:pt idx="108">
                  <c:v>3.000000031830985</c:v>
                </c:pt>
                <c:pt idx="109">
                  <c:v>3.0000000318309898</c:v>
                </c:pt>
                <c:pt idx="110">
                  <c:v>3.0000000318309872</c:v>
                </c:pt>
                <c:pt idx="111">
                  <c:v>3.0000000318309801</c:v>
                </c:pt>
                <c:pt idx="112">
                  <c:v>3.0000000318309823</c:v>
                </c:pt>
                <c:pt idx="113">
                  <c:v>3.0000000318309845</c:v>
                </c:pt>
                <c:pt idx="114">
                  <c:v>3.0000000318309863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9B-4746-B25A-6D58CFD270DF}"/>
            </c:ext>
          </c:extLst>
        </c:ser>
        <c:ser>
          <c:idx val="2"/>
          <c:order val="1"/>
          <c:tx>
            <c:v>m=3, k=min2(2.469)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'[1]Sheet2_3 (3_m2)'!$D$3:$D$117</c:f>
              <c:numCache>
                <c:formatCode>General</c:formatCode>
                <c:ptCount val="115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1.5833333333333335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1.8333333333333335</c:v>
                </c:pt>
                <c:pt idx="23">
                  <c:v>1.9166666666666665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35</c:v>
                </c:pt>
                <c:pt idx="98">
                  <c:v>40</c:v>
                </c:pt>
                <c:pt idx="99">
                  <c:v>45</c:v>
                </c:pt>
                <c:pt idx="100">
                  <c:v>50</c:v>
                </c:pt>
                <c:pt idx="101">
                  <c:v>55</c:v>
                </c:pt>
                <c:pt idx="102">
                  <c:v>60</c:v>
                </c:pt>
                <c:pt idx="103">
                  <c:v>65</c:v>
                </c:pt>
                <c:pt idx="104">
                  <c:v>70</c:v>
                </c:pt>
                <c:pt idx="105">
                  <c:v>75</c:v>
                </c:pt>
                <c:pt idx="106">
                  <c:v>80</c:v>
                </c:pt>
                <c:pt idx="107">
                  <c:v>85</c:v>
                </c:pt>
                <c:pt idx="108">
                  <c:v>90</c:v>
                </c:pt>
                <c:pt idx="109">
                  <c:v>95</c:v>
                </c:pt>
                <c:pt idx="110">
                  <c:v>100</c:v>
                </c:pt>
                <c:pt idx="111">
                  <c:v>105</c:v>
                </c:pt>
                <c:pt idx="112">
                  <c:v>110</c:v>
                </c:pt>
                <c:pt idx="113">
                  <c:v>115</c:v>
                </c:pt>
                <c:pt idx="114">
                  <c:v>120</c:v>
                </c:pt>
              </c:numCache>
            </c:numRef>
          </c:xVal>
          <c:yVal>
            <c:numRef>
              <c:f>'[1]Sheet2_3 (3_m2)'!$F$3:$F$117</c:f>
              <c:numCache>
                <c:formatCode>General</c:formatCode>
                <c:ptCount val="115"/>
                <c:pt idx="0">
                  <c:v>0</c:v>
                </c:pt>
                <c:pt idx="1">
                  <c:v>8.7005192549449717E-2</c:v>
                </c:pt>
                <c:pt idx="2">
                  <c:v>0.17400629953469204</c:v>
                </c:pt>
                <c:pt idx="3">
                  <c:v>0.26100282867837077</c:v>
                </c:pt>
                <c:pt idx="4">
                  <c:v>0.34799421162405153</c:v>
                </c:pt>
                <c:pt idx="5">
                  <c:v>0.43497978945255866</c:v>
                </c:pt>
                <c:pt idx="6">
                  <c:v>0.52195879489467156</c:v>
                </c:pt>
                <c:pt idx="7">
                  <c:v>0.60893033035545718</c:v>
                </c:pt>
                <c:pt idx="8">
                  <c:v>0.69589334059160013</c:v>
                </c:pt>
                <c:pt idx="9">
                  <c:v>0.78284657851231199</c:v>
                </c:pt>
                <c:pt idx="10">
                  <c:v>0.86978856206805011</c:v>
                </c:pt>
                <c:pt idx="11">
                  <c:v>0.95671751949328288</c:v>
                </c:pt>
                <c:pt idx="12">
                  <c:v>1.0436313191977482</c:v>
                </c:pt>
                <c:pt idx="13">
                  <c:v>1.1305273792335686</c:v>
                </c:pt>
                <c:pt idx="14">
                  <c:v>1.2174025493210492</c:v>
                </c:pt>
                <c:pt idx="15">
                  <c:v>1.3042529556176965</c:v>
                </c:pt>
                <c:pt idx="16">
                  <c:v>1.391073794338431</c:v>
                </c:pt>
                <c:pt idx="17">
                  <c:v>1.4778590543187062</c:v>
                </c:pt>
                <c:pt idx="18">
                  <c:v>1.5646011396116264</c:v>
                </c:pt>
                <c:pt idx="19">
                  <c:v>1.6512903495508839</c:v>
                </c:pt>
                <c:pt idx="20">
                  <c:v>1.737914152670748</c:v>
                </c:pt>
                <c:pt idx="21">
                  <c:v>1.8244561579596357</c:v>
                </c:pt>
                <c:pt idx="22">
                  <c:v>1.9108946346162505</c:v>
                </c:pt>
                <c:pt idx="23">
                  <c:v>1.9972003470331139</c:v>
                </c:pt>
                <c:pt idx="24">
                  <c:v>2.0833333333333277</c:v>
                </c:pt>
                <c:pt idx="25">
                  <c:v>2.1692380258965516</c:v>
                </c:pt>
                <c:pt idx="26">
                  <c:v>2.2548357266705956</c:v>
                </c:pt>
                <c:pt idx="27">
                  <c:v>2.3400128013357779</c:v>
                </c:pt>
                <c:pt idx="28">
                  <c:v>2.4246018770975648</c:v>
                </c:pt>
                <c:pt idx="29">
                  <c:v>2.5083516038226517</c:v>
                </c:pt>
                <c:pt idx="30">
                  <c:v>2.590878069284539</c:v>
                </c:pt>
                <c:pt idx="31">
                  <c:v>2.6715884939621453</c:v>
                </c:pt>
                <c:pt idx="32">
                  <c:v>2.7495693569891584</c:v>
                </c:pt>
                <c:pt idx="33">
                  <c:v>2.8234496120618569</c:v>
                </c:pt>
                <c:pt idx="34">
                  <c:v>2.89131265199812</c:v>
                </c:pt>
                <c:pt idx="35">
                  <c:v>2.9508510955334493</c:v>
                </c:pt>
                <c:pt idx="36">
                  <c:v>3</c:v>
                </c:pt>
                <c:pt idx="37">
                  <c:v>3.0379026566307985</c:v>
                </c:pt>
                <c:pt idx="38">
                  <c:v>3.0654157741928185</c:v>
                </c:pt>
                <c:pt idx="39">
                  <c:v>3.0846042953539041</c:v>
                </c:pt>
                <c:pt idx="40">
                  <c:v>3.0977756013785553</c:v>
                </c:pt>
                <c:pt idx="41">
                  <c:v>3.1068462994488915</c:v>
                </c:pt>
                <c:pt idx="42">
                  <c:v>3.113187435868634</c:v>
                </c:pt>
                <c:pt idx="43">
                  <c:v>3.1177125315040963</c:v>
                </c:pt>
                <c:pt idx="44">
                  <c:v>3.1210143658763583</c:v>
                </c:pt>
                <c:pt idx="45">
                  <c:v>3.1234768512119206</c:v>
                </c:pt>
                <c:pt idx="46">
                  <c:v>3.125351337644088</c:v>
                </c:pt>
                <c:pt idx="47">
                  <c:v>3.1268051979673932</c:v>
                </c:pt>
                <c:pt idx="48">
                  <c:v>3.1279520665015181</c:v>
                </c:pt>
                <c:pt idx="49">
                  <c:v>3.1288706412986538</c:v>
                </c:pt>
                <c:pt idx="50">
                  <c:v>3.1296164899791394</c:v>
                </c:pt>
                <c:pt idx="51">
                  <c:v>3.1302295744198738</c:v>
                </c:pt>
                <c:pt idx="52">
                  <c:v>3.1307391302283358</c:v>
                </c:pt>
                <c:pt idx="53">
                  <c:v>3.1311668882058203</c:v>
                </c:pt>
                <c:pt idx="54">
                  <c:v>3.1315292393639123</c:v>
                </c:pt>
                <c:pt idx="55">
                  <c:v>3.1318387151683416</c:v>
                </c:pt>
                <c:pt idx="56">
                  <c:v>3.1321050162854154</c:v>
                </c:pt>
                <c:pt idx="57">
                  <c:v>3.1323357386620301</c:v>
                </c:pt>
                <c:pt idx="58">
                  <c:v>3.1325368934627318</c:v>
                </c:pt>
                <c:pt idx="59">
                  <c:v>3.1327132844726004</c:v>
                </c:pt>
                <c:pt idx="60">
                  <c:v>3.1328687855341295</c:v>
                </c:pt>
                <c:pt idx="61">
                  <c:v>3.1330065469270134</c:v>
                </c:pt>
                <c:pt idx="62">
                  <c:v>3.1331291505991299</c:v>
                </c:pt>
                <c:pt idx="63">
                  <c:v>3.1332387281407406</c:v>
                </c:pt>
                <c:pt idx="64">
                  <c:v>3.1333370513173784</c:v>
                </c:pt>
                <c:pt idx="65">
                  <c:v>3.1334256021785847</c:v>
                </c:pt>
                <c:pt idx="66">
                  <c:v>3.1335056278151483</c:v>
                </c:pt>
                <c:pt idx="67">
                  <c:v>3.1335781834703846</c:v>
                </c:pt>
                <c:pt idx="68">
                  <c:v>3.1336441667392267</c:v>
                </c:pt>
                <c:pt idx="69">
                  <c:v>3.1337043448908948</c:v>
                </c:pt>
                <c:pt idx="70">
                  <c:v>3.1337593768445657</c:v>
                </c:pt>
                <c:pt idx="71">
                  <c:v>3.1338098309566722</c:v>
                </c:pt>
                <c:pt idx="72">
                  <c:v>3.1338561995045722</c:v>
                </c:pt>
                <c:pt idx="73">
                  <c:v>3.1342080830639274</c:v>
                </c:pt>
                <c:pt idx="74">
                  <c:v>3.1343720857188142</c:v>
                </c:pt>
                <c:pt idx="75">
                  <c:v>3.1344614764343408</c:v>
                </c:pt>
                <c:pt idx="76">
                  <c:v>3.1345154797599646</c:v>
                </c:pt>
                <c:pt idx="77">
                  <c:v>3.1345505718003901</c:v>
                </c:pt>
                <c:pt idx="78">
                  <c:v>3.1345746498368321</c:v>
                </c:pt>
                <c:pt idx="79">
                  <c:v>3.1345918822325411</c:v>
                </c:pt>
                <c:pt idx="80">
                  <c:v>3.1346046373703387</c:v>
                </c:pt>
                <c:pt idx="81">
                  <c:v>3.13461434161254</c:v>
                </c:pt>
                <c:pt idx="82">
                  <c:v>3.1346218955377236</c:v>
                </c:pt>
                <c:pt idx="83">
                  <c:v>3.1346278904319687</c:v>
                </c:pt>
                <c:pt idx="84">
                  <c:v>3.134632727507173</c:v>
                </c:pt>
                <c:pt idx="85">
                  <c:v>3.1346366867643596</c:v>
                </c:pt>
                <c:pt idx="86">
                  <c:v>3.1346399684175004</c:v>
                </c:pt>
                <c:pt idx="87">
                  <c:v>3.1346427186965178</c:v>
                </c:pt>
                <c:pt idx="88">
                  <c:v>3.1346450464155513</c:v>
                </c:pt>
                <c:pt idx="89">
                  <c:v>3.1346470338989612</c:v>
                </c:pt>
                <c:pt idx="90">
                  <c:v>3.1346487443586479</c:v>
                </c:pt>
                <c:pt idx="91">
                  <c:v>3.134650226981226</c:v>
                </c:pt>
                <c:pt idx="92">
                  <c:v>3.1346515205028762</c:v>
                </c:pt>
                <c:pt idx="93">
                  <c:v>3.1346526557646754</c:v>
                </c:pt>
                <c:pt idx="94">
                  <c:v>3.1346536575676267</c:v>
                </c:pt>
                <c:pt idx="95">
                  <c:v>3.1346545460384383</c:v>
                </c:pt>
                <c:pt idx="96">
                  <c:v>3.1346553376481285</c:v>
                </c:pt>
                <c:pt idx="97">
                  <c:v>3.1346582465258712</c:v>
                </c:pt>
                <c:pt idx="98">
                  <c:v>3.1346600581747595</c:v>
                </c:pt>
                <c:pt idx="99">
                  <c:v>3.1346612622979344</c:v>
                </c:pt>
                <c:pt idx="100">
                  <c:v>3.1346621030219146</c:v>
                </c:pt>
                <c:pt idx="101">
                  <c:v>3.1346627131189799</c:v>
                </c:pt>
                <c:pt idx="102">
                  <c:v>3.134663169830997</c:v>
                </c:pt>
                <c:pt idx="103">
                  <c:v>3.1346635205755176</c:v>
                </c:pt>
                <c:pt idx="104">
                  <c:v>3.1346637957685202</c:v>
                </c:pt>
                <c:pt idx="105">
                  <c:v>3.1346640156475116</c:v>
                </c:pt>
                <c:pt idx="106">
                  <c:v>3.1346641941012559</c:v>
                </c:pt>
                <c:pt idx="107">
                  <c:v>3.1346643409180381</c:v>
                </c:pt>
                <c:pt idx="108">
                  <c:v>3.1346644631570424</c:v>
                </c:pt>
                <c:pt idx="109">
                  <c:v>3.134664566012999</c:v>
                </c:pt>
                <c:pt idx="110">
                  <c:v>3.1346646533773761</c:v>
                </c:pt>
                <c:pt idx="111">
                  <c:v>3.1346647282118894</c:v>
                </c:pt>
                <c:pt idx="112">
                  <c:v>3.1346647928028686</c:v>
                </c:pt>
                <c:pt idx="113">
                  <c:v>3.1346648489379829</c:v>
                </c:pt>
                <c:pt idx="114">
                  <c:v>3.134664898031319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9B-4746-B25A-6D58CFD270DF}"/>
            </c:ext>
          </c:extLst>
        </c:ser>
        <c:ser>
          <c:idx val="1"/>
          <c:order val="2"/>
          <c:tx>
            <c:v>m=3, k=min1(0.407)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'[1]Sheet2_2 (3_m1)'!$D$3:$D$117</c:f>
              <c:numCache>
                <c:formatCode>General</c:formatCode>
                <c:ptCount val="115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1.5833333333333335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1.8333333333333335</c:v>
                </c:pt>
                <c:pt idx="23">
                  <c:v>1.9166666666666665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35</c:v>
                </c:pt>
                <c:pt idx="98">
                  <c:v>40</c:v>
                </c:pt>
                <c:pt idx="99">
                  <c:v>45</c:v>
                </c:pt>
                <c:pt idx="100">
                  <c:v>50</c:v>
                </c:pt>
                <c:pt idx="101">
                  <c:v>55</c:v>
                </c:pt>
                <c:pt idx="102">
                  <c:v>60</c:v>
                </c:pt>
                <c:pt idx="103">
                  <c:v>65</c:v>
                </c:pt>
                <c:pt idx="104">
                  <c:v>70</c:v>
                </c:pt>
                <c:pt idx="105">
                  <c:v>75</c:v>
                </c:pt>
                <c:pt idx="106">
                  <c:v>80</c:v>
                </c:pt>
                <c:pt idx="107">
                  <c:v>85</c:v>
                </c:pt>
                <c:pt idx="108">
                  <c:v>90</c:v>
                </c:pt>
                <c:pt idx="109">
                  <c:v>95</c:v>
                </c:pt>
                <c:pt idx="110">
                  <c:v>100</c:v>
                </c:pt>
                <c:pt idx="111">
                  <c:v>105</c:v>
                </c:pt>
                <c:pt idx="112">
                  <c:v>110</c:v>
                </c:pt>
                <c:pt idx="113">
                  <c:v>115</c:v>
                </c:pt>
                <c:pt idx="114">
                  <c:v>120</c:v>
                </c:pt>
              </c:numCache>
            </c:numRef>
          </c:xVal>
          <c:yVal>
            <c:numRef>
              <c:f>'[1]Sheet2_2 (3_m1)'!$F$3:$F$117</c:f>
              <c:numCache>
                <c:formatCode>General</c:formatCode>
                <c:ptCount val="115"/>
                <c:pt idx="0">
                  <c:v>0</c:v>
                </c:pt>
                <c:pt idx="1">
                  <c:v>9.9776970356995065E-2</c:v>
                </c:pt>
                <c:pt idx="2">
                  <c:v>0.19915746692355363</c:v>
                </c:pt>
                <c:pt idx="3">
                  <c:v>0.29811400155536072</c:v>
                </c:pt>
                <c:pt idx="4">
                  <c:v>0.39661705366389466</c:v>
                </c:pt>
                <c:pt idx="5">
                  <c:v>0.49463493615681298</c:v>
                </c:pt>
                <c:pt idx="6">
                  <c:v>0.5921336584688448</c:v>
                </c:pt>
                <c:pt idx="7">
                  <c:v>0.68907678823686513</c:v>
                </c:pt>
                <c:pt idx="8">
                  <c:v>0.78542531361922219</c:v>
                </c:pt>
                <c:pt idx="9">
                  <c:v>0.8811375087777038</c:v>
                </c:pt>
                <c:pt idx="10">
                  <c:v>0.97616880563324626</c:v>
                </c:pt>
                <c:pt idx="11">
                  <c:v>1.0704716756727959</c:v>
                </c:pt>
                <c:pt idx="12">
                  <c:v>1.1639955263188662</c:v>
                </c:pt>
                <c:pt idx="13">
                  <c:v>1.2566866171632984</c:v>
                </c:pt>
                <c:pt idx="14">
                  <c:v>1.348488002192002</c:v>
                </c:pt>
                <c:pt idx="15">
                  <c:v>1.4393395049569584</c:v>
                </c:pt>
                <c:pt idx="16">
                  <c:v>1.529177734442043</c:v>
                </c:pt>
                <c:pt idx="17">
                  <c:v>1.6179361500622855</c:v>
                </c:pt>
                <c:pt idx="18">
                  <c:v>1.7055451847588752</c:v>
                </c:pt>
                <c:pt idx="19">
                  <c:v>1.7919324354158852</c:v>
                </c:pt>
                <c:pt idx="20">
                  <c:v>1.8770229297275149</c:v>
                </c:pt>
                <c:pt idx="21">
                  <c:v>1.9607394780756184</c:v>
                </c:pt>
                <c:pt idx="22">
                  <c:v>2.0430031178239352</c:v>
                </c:pt>
                <c:pt idx="23">
                  <c:v>2.1237336555945663</c:v>
                </c:pt>
                <c:pt idx="24">
                  <c:v>2.202850310484489</c:v>
                </c:pt>
                <c:pt idx="25">
                  <c:v>2.2802724577671247</c:v>
                </c:pt>
                <c:pt idx="26">
                  <c:v>2.3559204684284341</c:v>
                </c:pt>
                <c:pt idx="27">
                  <c:v>2.4297166350091963</c:v>
                </c:pt>
                <c:pt idx="28">
                  <c:v>2.5015861688584091</c:v>
                </c:pt>
                <c:pt idx="29">
                  <c:v>2.5714582483388844</c:v>
                </c:pt>
                <c:pt idx="30">
                  <c:v>2.6392670921495429</c:v>
                </c:pt>
                <c:pt idx="31">
                  <c:v>2.7049530271953959</c:v>
                </c:pt>
                <c:pt idx="32">
                  <c:v>2.7684635168350882</c:v>
                </c:pt>
                <c:pt idx="33">
                  <c:v>2.8297541133377693</c:v>
                </c:pt>
                <c:pt idx="34">
                  <c:v>2.8887892983760506</c:v>
                </c:pt>
                <c:pt idx="35">
                  <c:v>2.9455431776169823</c:v>
                </c:pt>
                <c:pt idx="36">
                  <c:v>3</c:v>
                </c:pt>
                <c:pt idx="37">
                  <c:v>3.0521544789349178</c:v>
                </c:pt>
                <c:pt idx="38">
                  <c:v>3.1020119010119216</c:v>
                </c:pt>
                <c:pt idx="39">
                  <c:v>3.1495880172915762</c:v>
                </c:pt>
                <c:pt idx="40">
                  <c:v>3.1949087221068302</c:v>
                </c:pt>
                <c:pt idx="41">
                  <c:v>3.2380095337850729</c:v>
                </c:pt>
                <c:pt idx="42">
                  <c:v>3.2789349000571564</c:v>
                </c:pt>
                <c:pt idx="43">
                  <c:v>3.3177373575644333</c:v>
                </c:pt>
                <c:pt idx="44">
                  <c:v>3.3544765794018936</c:v>
                </c:pt>
                <c:pt idx="45">
                  <c:v>3.3892183468706163</c:v>
                </c:pt>
                <c:pt idx="46">
                  <c:v>3.42203348160779</c:v>
                </c:pt>
                <c:pt idx="47">
                  <c:v>3.4529967722644157</c:v>
                </c:pt>
                <c:pt idx="48">
                  <c:v>3.4821859262997155</c:v>
                </c:pt>
                <c:pt idx="49">
                  <c:v>3.5096805727277287</c:v>
                </c:pt>
                <c:pt idx="50">
                  <c:v>3.5355613362750322</c:v>
                </c:pt>
                <c:pt idx="51">
                  <c:v>3.5599089978446514</c:v>
                </c:pt>
                <c:pt idx="52">
                  <c:v>3.5828037508144837</c:v>
                </c:pt>
                <c:pt idx="53">
                  <c:v>3.6043245578207892</c:v>
                </c:pt>
                <c:pt idx="54">
                  <c:v>3.6245486084817147</c:v>
                </c:pt>
                <c:pt idx="55">
                  <c:v>3.6435508751030605</c:v>
                </c:pt>
                <c:pt idx="56">
                  <c:v>3.6614037608007539</c:v>
                </c:pt>
                <c:pt idx="57">
                  <c:v>3.6781768326336048</c:v>
                </c:pt>
                <c:pt idx="58">
                  <c:v>3.6939366311865838</c:v>
                </c:pt>
                <c:pt idx="59">
                  <c:v>3.7087465474758163</c:v>
                </c:pt>
                <c:pt idx="60">
                  <c:v>3.7226667579493191</c:v>
                </c:pt>
                <c:pt idx="61">
                  <c:v>3.7357542086211843</c:v>
                </c:pt>
                <c:pt idx="62">
                  <c:v>3.7480626398995702</c:v>
                </c:pt>
                <c:pt idx="63">
                  <c:v>3.7596426443619637</c:v>
                </c:pt>
                <c:pt idx="64">
                  <c:v>3.7705417505214172</c:v>
                </c:pt>
                <c:pt idx="65">
                  <c:v>3.7808045264569952</c:v>
                </c:pt>
                <c:pt idx="66">
                  <c:v>3.7904726980069108</c:v>
                </c:pt>
                <c:pt idx="67">
                  <c:v>3.7995852770128149</c:v>
                </c:pt>
                <c:pt idx="68">
                  <c:v>3.8081786958378316</c:v>
                </c:pt>
                <c:pt idx="69">
                  <c:v>3.8162869450472332</c:v>
                </c:pt>
                <c:pt idx="70">
                  <c:v>3.8239417117333621</c:v>
                </c:pt>
                <c:pt idx="71">
                  <c:v>3.831172516484739</c:v>
                </c:pt>
                <c:pt idx="72">
                  <c:v>3.8380068474456799</c:v>
                </c:pt>
                <c:pt idx="73">
                  <c:v>3.8968489565241957</c:v>
                </c:pt>
                <c:pt idx="74">
                  <c:v>3.929543328922517</c:v>
                </c:pt>
                <c:pt idx="75">
                  <c:v>3.9491820948058294</c:v>
                </c:pt>
                <c:pt idx="76">
                  <c:v>3.9617642227544181</c:v>
                </c:pt>
                <c:pt idx="77">
                  <c:v>3.9702569571704434</c:v>
                </c:pt>
                <c:pt idx="78">
                  <c:v>3.9762371536765864</c:v>
                </c:pt>
                <c:pt idx="79">
                  <c:v>3.9805967153549124</c:v>
                </c:pt>
                <c:pt idx="80">
                  <c:v>3.9838676218614841</c:v>
                </c:pt>
                <c:pt idx="81">
                  <c:v>3.9863817986879959</c:v>
                </c:pt>
                <c:pt idx="82">
                  <c:v>3.988354460550092</c:v>
                </c:pt>
                <c:pt idx="83">
                  <c:v>3.9899298295480481</c:v>
                </c:pt>
                <c:pt idx="84">
                  <c:v>3.9912073527673373</c:v>
                </c:pt>
                <c:pt idx="85">
                  <c:v>3.9922573321684158</c:v>
                </c:pt>
                <c:pt idx="86">
                  <c:v>3.9931305655724847</c:v>
                </c:pt>
                <c:pt idx="87">
                  <c:v>3.9938644751564798</c:v>
                </c:pt>
                <c:pt idx="88">
                  <c:v>3.9944871086079932</c:v>
                </c:pt>
                <c:pt idx="89">
                  <c:v>3.9950198144076792</c:v>
                </c:pt>
                <c:pt idx="90">
                  <c:v>3.9954790692669371</c:v>
                </c:pt>
                <c:pt idx="91">
                  <c:v>3.9958777507239756</c:v>
                </c:pt>
                <c:pt idx="92">
                  <c:v>3.996226038973778</c:v>
                </c:pt>
                <c:pt idx="93">
                  <c:v>3.9965320661893418</c:v>
                </c:pt>
                <c:pt idx="94">
                  <c:v>3.9968023908697035</c:v>
                </c:pt>
                <c:pt idx="95">
                  <c:v>3.9970423490055187</c:v>
                </c:pt>
                <c:pt idx="96">
                  <c:v>3.9972563172518192</c:v>
                </c:pt>
                <c:pt idx="97">
                  <c:v>3.9980439551585913</c:v>
                </c:pt>
                <c:pt idx="98">
                  <c:v>3.9985355977493651</c:v>
                </c:pt>
                <c:pt idx="99">
                  <c:v>3.9988628403273161</c:v>
                </c:pt>
                <c:pt idx="100">
                  <c:v>3.9990915452220164</c:v>
                </c:pt>
                <c:pt idx="101">
                  <c:v>3.9992576267701958</c:v>
                </c:pt>
                <c:pt idx="102">
                  <c:v>3.9993820168935068</c:v>
                </c:pt>
                <c:pt idx="103">
                  <c:v>3.99947758251772</c:v>
                </c:pt>
                <c:pt idx="104">
                  <c:v>3.9995525853993739</c:v>
                </c:pt>
                <c:pt idx="105">
                  <c:v>3.999612526809146</c:v>
                </c:pt>
                <c:pt idx="106">
                  <c:v>3.9996611845002787</c:v>
                </c:pt>
                <c:pt idx="107">
                  <c:v>3.9997012221887034</c:v>
                </c:pt>
                <c:pt idx="108">
                  <c:v>3.9997345616743667</c:v>
                </c:pt>
                <c:pt idx="109">
                  <c:v>3.9997626176436039</c:v>
                </c:pt>
                <c:pt idx="110">
                  <c:v>3.9997864501466269</c:v>
                </c:pt>
                <c:pt idx="111">
                  <c:v>3.9998068661550579</c:v>
                </c:pt>
                <c:pt idx="112">
                  <c:v>3.9998244887435348</c:v>
                </c:pt>
                <c:pt idx="113">
                  <c:v>3.9998398051745689</c:v>
                </c:pt>
                <c:pt idx="114">
                  <c:v>3.9998532009305223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9B-4746-B25A-6D58CFD270DF}"/>
            </c:ext>
          </c:extLst>
        </c:ser>
        <c:ser>
          <c:idx val="0"/>
          <c:order val="3"/>
          <c:tx>
            <c:v>m=3, k=10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'[1]Sheet2_3 (3_inf)'!$D$3:$D$117</c:f>
              <c:numCache>
                <c:formatCode>General</c:formatCode>
                <c:ptCount val="115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1.5833333333333335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1.8333333333333335</c:v>
                </c:pt>
                <c:pt idx="23">
                  <c:v>1.9166666666666665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35</c:v>
                </c:pt>
                <c:pt idx="98">
                  <c:v>40</c:v>
                </c:pt>
                <c:pt idx="99">
                  <c:v>45</c:v>
                </c:pt>
                <c:pt idx="100">
                  <c:v>50</c:v>
                </c:pt>
                <c:pt idx="101">
                  <c:v>55</c:v>
                </c:pt>
                <c:pt idx="102">
                  <c:v>60</c:v>
                </c:pt>
                <c:pt idx="103">
                  <c:v>65</c:v>
                </c:pt>
                <c:pt idx="104">
                  <c:v>70</c:v>
                </c:pt>
                <c:pt idx="105">
                  <c:v>75</c:v>
                </c:pt>
                <c:pt idx="106">
                  <c:v>80</c:v>
                </c:pt>
                <c:pt idx="107">
                  <c:v>85</c:v>
                </c:pt>
                <c:pt idx="108">
                  <c:v>90</c:v>
                </c:pt>
                <c:pt idx="109">
                  <c:v>95</c:v>
                </c:pt>
                <c:pt idx="110">
                  <c:v>100</c:v>
                </c:pt>
                <c:pt idx="111">
                  <c:v>105</c:v>
                </c:pt>
                <c:pt idx="112">
                  <c:v>110</c:v>
                </c:pt>
                <c:pt idx="113">
                  <c:v>115</c:v>
                </c:pt>
                <c:pt idx="114">
                  <c:v>120</c:v>
                </c:pt>
              </c:numCache>
            </c:numRef>
          </c:xVal>
          <c:yVal>
            <c:numRef>
              <c:f>'[1]Sheet2_3 (3_inf)'!$F$3:$F$117</c:f>
              <c:numCache>
                <c:formatCode>General</c:formatCode>
                <c:ptCount val="115"/>
                <c:pt idx="0">
                  <c:v>0</c:v>
                </c:pt>
                <c:pt idx="1">
                  <c:v>8.3333334217527089E-2</c:v>
                </c:pt>
                <c:pt idx="2">
                  <c:v>0.16666666843505462</c:v>
                </c:pt>
                <c:pt idx="3">
                  <c:v>0.25000000265258215</c:v>
                </c:pt>
                <c:pt idx="4">
                  <c:v>0.33333333687010969</c:v>
                </c:pt>
                <c:pt idx="5">
                  <c:v>0.41666667108763678</c:v>
                </c:pt>
                <c:pt idx="6">
                  <c:v>0.50000000530516431</c:v>
                </c:pt>
                <c:pt idx="7">
                  <c:v>0.58333333952269184</c:v>
                </c:pt>
                <c:pt idx="8">
                  <c:v>0.66666667374021937</c:v>
                </c:pt>
                <c:pt idx="9">
                  <c:v>0.75000000795774691</c:v>
                </c:pt>
                <c:pt idx="10">
                  <c:v>0.83333334217527444</c:v>
                </c:pt>
                <c:pt idx="11">
                  <c:v>0.91666667639280153</c:v>
                </c:pt>
                <c:pt idx="12">
                  <c:v>1.0000000106103295</c:v>
                </c:pt>
                <c:pt idx="13">
                  <c:v>1.083333344827857</c:v>
                </c:pt>
                <c:pt idx="14">
                  <c:v>1.1666666790453843</c:v>
                </c:pt>
                <c:pt idx="15">
                  <c:v>1.2500000132629119</c:v>
                </c:pt>
                <c:pt idx="16">
                  <c:v>1.3333333474804394</c:v>
                </c:pt>
                <c:pt idx="17">
                  <c:v>1.4166666816979667</c:v>
                </c:pt>
                <c:pt idx="18">
                  <c:v>1.5000000159154943</c:v>
                </c:pt>
                <c:pt idx="19">
                  <c:v>1.583333350133022</c:v>
                </c:pt>
                <c:pt idx="20">
                  <c:v>1.6666666843505491</c:v>
                </c:pt>
                <c:pt idx="21">
                  <c:v>1.7500000185680769</c:v>
                </c:pt>
                <c:pt idx="22">
                  <c:v>1.8333333527856044</c:v>
                </c:pt>
                <c:pt idx="23">
                  <c:v>1.9166666870031315</c:v>
                </c:pt>
                <c:pt idx="24">
                  <c:v>2.000000021220659</c:v>
                </c:pt>
                <c:pt idx="25">
                  <c:v>2.083333355438187</c:v>
                </c:pt>
                <c:pt idx="26">
                  <c:v>2.1666666896557141</c:v>
                </c:pt>
                <c:pt idx="27">
                  <c:v>2.2500000238732416</c:v>
                </c:pt>
                <c:pt idx="28">
                  <c:v>2.3333333580907691</c:v>
                </c:pt>
                <c:pt idx="29">
                  <c:v>2.4166666923082962</c:v>
                </c:pt>
                <c:pt idx="30">
                  <c:v>2.5000000265258242</c:v>
                </c:pt>
                <c:pt idx="31">
                  <c:v>2.5833333607433517</c:v>
                </c:pt>
                <c:pt idx="32">
                  <c:v>2.6666666949608788</c:v>
                </c:pt>
                <c:pt idx="33">
                  <c:v>2.7500000291784064</c:v>
                </c:pt>
                <c:pt idx="34">
                  <c:v>2.8333333633959343</c:v>
                </c:pt>
                <c:pt idx="35">
                  <c:v>2.9166666976134614</c:v>
                </c:pt>
                <c:pt idx="36">
                  <c:v>3</c:v>
                </c:pt>
                <c:pt idx="37">
                  <c:v>3.000000031830989</c:v>
                </c:pt>
                <c:pt idx="38">
                  <c:v>3.000000031830989</c:v>
                </c:pt>
                <c:pt idx="39">
                  <c:v>3.000000031830989</c:v>
                </c:pt>
                <c:pt idx="40">
                  <c:v>3.000000031830989</c:v>
                </c:pt>
                <c:pt idx="41">
                  <c:v>3.000000031830989</c:v>
                </c:pt>
                <c:pt idx="42">
                  <c:v>3.000000031830989</c:v>
                </c:pt>
                <c:pt idx="43">
                  <c:v>3.000000031830989</c:v>
                </c:pt>
                <c:pt idx="44">
                  <c:v>3.000000031830989</c:v>
                </c:pt>
                <c:pt idx="45">
                  <c:v>3.000000031830989</c:v>
                </c:pt>
                <c:pt idx="46">
                  <c:v>3.000000031830989</c:v>
                </c:pt>
                <c:pt idx="47">
                  <c:v>3.000000031830989</c:v>
                </c:pt>
                <c:pt idx="48">
                  <c:v>3.000000031830989</c:v>
                </c:pt>
                <c:pt idx="49">
                  <c:v>3.000000031830989</c:v>
                </c:pt>
                <c:pt idx="50">
                  <c:v>3.000000031830989</c:v>
                </c:pt>
                <c:pt idx="51">
                  <c:v>3.000000031830989</c:v>
                </c:pt>
                <c:pt idx="52">
                  <c:v>3.000000031830989</c:v>
                </c:pt>
                <c:pt idx="53">
                  <c:v>3.000000031830989</c:v>
                </c:pt>
                <c:pt idx="54">
                  <c:v>3.000000031830989</c:v>
                </c:pt>
                <c:pt idx="55">
                  <c:v>3.000000031830989</c:v>
                </c:pt>
                <c:pt idx="56">
                  <c:v>3.000000031830989</c:v>
                </c:pt>
                <c:pt idx="57">
                  <c:v>3.000000031830989</c:v>
                </c:pt>
                <c:pt idx="58">
                  <c:v>3.000000031830989</c:v>
                </c:pt>
                <c:pt idx="59">
                  <c:v>3.000000031830989</c:v>
                </c:pt>
                <c:pt idx="60">
                  <c:v>3.000000031830989</c:v>
                </c:pt>
                <c:pt idx="61">
                  <c:v>3.000000031830989</c:v>
                </c:pt>
                <c:pt idx="62">
                  <c:v>3.000000031830989</c:v>
                </c:pt>
                <c:pt idx="63">
                  <c:v>3.000000031830989</c:v>
                </c:pt>
                <c:pt idx="64">
                  <c:v>3.000000031830989</c:v>
                </c:pt>
                <c:pt idx="65">
                  <c:v>3.000000031830989</c:v>
                </c:pt>
                <c:pt idx="66">
                  <c:v>3.000000031830989</c:v>
                </c:pt>
                <c:pt idx="67">
                  <c:v>3.000000031830989</c:v>
                </c:pt>
                <c:pt idx="68">
                  <c:v>3.000000031830989</c:v>
                </c:pt>
                <c:pt idx="69">
                  <c:v>3.000000031830989</c:v>
                </c:pt>
                <c:pt idx="70">
                  <c:v>3.000000031830989</c:v>
                </c:pt>
                <c:pt idx="71">
                  <c:v>3.000000031830989</c:v>
                </c:pt>
                <c:pt idx="72">
                  <c:v>3.000000031830989</c:v>
                </c:pt>
                <c:pt idx="73">
                  <c:v>3.0000000318309885</c:v>
                </c:pt>
                <c:pt idx="74">
                  <c:v>3.000000031830989</c:v>
                </c:pt>
                <c:pt idx="75">
                  <c:v>3.000000031830989</c:v>
                </c:pt>
                <c:pt idx="76">
                  <c:v>3.0000000318309885</c:v>
                </c:pt>
                <c:pt idx="77">
                  <c:v>3.000000031830989</c:v>
                </c:pt>
                <c:pt idx="78">
                  <c:v>3.0000000318309894</c:v>
                </c:pt>
                <c:pt idx="79">
                  <c:v>3.000000031830989</c:v>
                </c:pt>
                <c:pt idx="80">
                  <c:v>3.0000000318309894</c:v>
                </c:pt>
                <c:pt idx="81">
                  <c:v>3.000000031830989</c:v>
                </c:pt>
                <c:pt idx="82">
                  <c:v>3.000000031830989</c:v>
                </c:pt>
                <c:pt idx="83">
                  <c:v>3.0000000318309885</c:v>
                </c:pt>
                <c:pt idx="84">
                  <c:v>3.0000000318309881</c:v>
                </c:pt>
                <c:pt idx="85">
                  <c:v>3.0000000318309881</c:v>
                </c:pt>
                <c:pt idx="86">
                  <c:v>3.0000000318309885</c:v>
                </c:pt>
                <c:pt idx="87">
                  <c:v>3.0000000318309894</c:v>
                </c:pt>
                <c:pt idx="88">
                  <c:v>3.0000000318309885</c:v>
                </c:pt>
                <c:pt idx="89">
                  <c:v>3.0000000318309881</c:v>
                </c:pt>
                <c:pt idx="90">
                  <c:v>3.0000000318309876</c:v>
                </c:pt>
                <c:pt idx="91">
                  <c:v>3.0000000318309881</c:v>
                </c:pt>
                <c:pt idx="92">
                  <c:v>3.0000000318309885</c:v>
                </c:pt>
                <c:pt idx="93">
                  <c:v>3.0000000318309876</c:v>
                </c:pt>
                <c:pt idx="94">
                  <c:v>3.0000000318309881</c:v>
                </c:pt>
                <c:pt idx="95">
                  <c:v>3.000000031830989</c:v>
                </c:pt>
                <c:pt idx="96">
                  <c:v>3.0000000318309876</c:v>
                </c:pt>
                <c:pt idx="97">
                  <c:v>3.0000000318309898</c:v>
                </c:pt>
                <c:pt idx="98">
                  <c:v>3.0000000318309894</c:v>
                </c:pt>
                <c:pt idx="99">
                  <c:v>3.0000000318309876</c:v>
                </c:pt>
                <c:pt idx="100">
                  <c:v>3.0000000318309894</c:v>
                </c:pt>
                <c:pt idx="101">
                  <c:v>3.0000000318309863</c:v>
                </c:pt>
                <c:pt idx="102">
                  <c:v>3.0000000318309894</c:v>
                </c:pt>
                <c:pt idx="103">
                  <c:v>3.0000000318309854</c:v>
                </c:pt>
                <c:pt idx="104">
                  <c:v>3.0000000318309872</c:v>
                </c:pt>
                <c:pt idx="105">
                  <c:v>3.0000000318309863</c:v>
                </c:pt>
                <c:pt idx="106">
                  <c:v>3.0000000318309823</c:v>
                </c:pt>
                <c:pt idx="107">
                  <c:v>3.0000000318309823</c:v>
                </c:pt>
                <c:pt idx="108">
                  <c:v>3.000000031830985</c:v>
                </c:pt>
                <c:pt idx="109">
                  <c:v>3.0000000318309898</c:v>
                </c:pt>
                <c:pt idx="110">
                  <c:v>3.0000000318309872</c:v>
                </c:pt>
                <c:pt idx="111">
                  <c:v>3.0000000318309801</c:v>
                </c:pt>
                <c:pt idx="112">
                  <c:v>3.0000000318309823</c:v>
                </c:pt>
                <c:pt idx="113">
                  <c:v>3.0000000318309845</c:v>
                </c:pt>
                <c:pt idx="114">
                  <c:v>3.0000000318309863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9B-4746-B25A-6D58CFD27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464416"/>
        <c:axId val="1535455776"/>
      </c:scatterChart>
      <c:valAx>
        <c:axId val="1535464416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55776"/>
        <c:crosses val="autoZero"/>
        <c:crossBetween val="midCat"/>
      </c:valAx>
      <c:valAx>
        <c:axId val="153545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64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年齢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m=3, k=4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'Sheet3 (3_4)'!$D$3:$D$117</c:f>
              <c:numCache>
                <c:formatCode>0.00_);[Red]\(0.00\)</c:formatCode>
                <c:ptCount val="115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1.5833333333333335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1.8333333333333335</c:v>
                </c:pt>
                <c:pt idx="23">
                  <c:v>1.9166666666666665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35</c:v>
                </c:pt>
                <c:pt idx="98">
                  <c:v>40</c:v>
                </c:pt>
                <c:pt idx="99">
                  <c:v>45</c:v>
                </c:pt>
                <c:pt idx="100">
                  <c:v>50</c:v>
                </c:pt>
                <c:pt idx="101">
                  <c:v>55</c:v>
                </c:pt>
                <c:pt idx="102">
                  <c:v>60</c:v>
                </c:pt>
                <c:pt idx="103">
                  <c:v>65</c:v>
                </c:pt>
                <c:pt idx="104">
                  <c:v>70</c:v>
                </c:pt>
                <c:pt idx="105">
                  <c:v>75</c:v>
                </c:pt>
                <c:pt idx="106">
                  <c:v>80</c:v>
                </c:pt>
                <c:pt idx="107">
                  <c:v>85</c:v>
                </c:pt>
                <c:pt idx="108">
                  <c:v>90</c:v>
                </c:pt>
                <c:pt idx="109">
                  <c:v>95</c:v>
                </c:pt>
                <c:pt idx="110">
                  <c:v>100</c:v>
                </c:pt>
                <c:pt idx="111">
                  <c:v>105</c:v>
                </c:pt>
                <c:pt idx="112">
                  <c:v>110</c:v>
                </c:pt>
                <c:pt idx="113">
                  <c:v>115</c:v>
                </c:pt>
                <c:pt idx="114">
                  <c:v>120</c:v>
                </c:pt>
              </c:numCache>
            </c:numRef>
          </c:xVal>
          <c:yVal>
            <c:numRef>
              <c:f>'Sheet3 (3_4)'!$F$3:$F$117</c:f>
              <c:numCache>
                <c:formatCode>0.000_ </c:formatCode>
                <c:ptCount val="115"/>
                <c:pt idx="0">
                  <c:v>0</c:v>
                </c:pt>
                <c:pt idx="1">
                  <c:v>8.5587801124195284E-2</c:v>
                </c:pt>
                <c:pt idx="2">
                  <c:v>0.17117463472315375</c:v>
                </c:pt>
                <c:pt idx="3">
                  <c:v>0.25676038270940804</c:v>
                </c:pt>
                <c:pt idx="4">
                  <c:v>0.34234490844773013</c:v>
                </c:pt>
                <c:pt idx="5">
                  <c:v>0.42792805315313753</c:v>
                </c:pt>
                <c:pt idx="6">
                  <c:v>0.51350963144734729</c:v>
                </c:pt>
                <c:pt idx="7">
                  <c:v>0.59908942584173941</c:v>
                </c:pt>
                <c:pt idx="8">
                  <c:v>0.68466717984063763</c:v>
                </c:pt>
                <c:pt idx="9">
                  <c:v>0.77024258925709299</c:v>
                </c:pt>
                <c:pt idx="10">
                  <c:v>0.85581529119293354</c:v>
                </c:pt>
                <c:pt idx="11">
                  <c:v>0.94138484993882843</c:v>
                </c:pt>
                <c:pt idx="12">
                  <c:v>1.0269507387731491</c:v>
                </c:pt>
                <c:pt idx="13">
                  <c:v>1.1125123162426016</c:v>
                </c:pt>
                <c:pt idx="14">
                  <c:v>1.1980687949343056</c:v>
                </c:pt>
                <c:pt idx="15">
                  <c:v>1.2836191999071596</c:v>
                </c:pt>
                <c:pt idx="16">
                  <c:v>1.3691623126955323</c:v>
                </c:pt>
                <c:pt idx="17">
                  <c:v>1.4546965948975108</c:v>
                </c:pt>
                <c:pt idx="18">
                  <c:v>1.5402200824300978</c:v>
                </c:pt>
                <c:pt idx="19">
                  <c:v>1.6257302369317723</c:v>
                </c:pt>
                <c:pt idx="20">
                  <c:v>1.711223733414909</c:v>
                </c:pt>
                <c:pt idx="21">
                  <c:v>1.7966961511758628</c:v>
                </c:pt>
                <c:pt idx="22">
                  <c:v>1.8821415146559093</c:v>
                </c:pt>
                <c:pt idx="23">
                  <c:v>1.967551595907314</c:v>
                </c:pt>
                <c:pt idx="24">
                  <c:v>2.0529148281022542</c:v>
                </c:pt>
                <c:pt idx="25">
                  <c:v>2.1382145654822611</c:v>
                </c:pt>
                <c:pt idx="26">
                  <c:v>2.2234262087427954</c:v>
                </c:pt>
                <c:pt idx="27">
                  <c:v>2.3085122884775462</c:v>
                </c:pt>
                <c:pt idx="28">
                  <c:v>2.3934137248731808</c:v>
                </c:pt>
                <c:pt idx="29">
                  <c:v>2.4780336127186113</c:v>
                </c:pt>
                <c:pt idx="30">
                  <c:v>2.5622057251608554</c:v>
                </c:pt>
                <c:pt idx="31">
                  <c:v>2.6456304195234104</c:v>
                </c:pt>
                <c:pt idx="32">
                  <c:v>2.7277389545276396</c:v>
                </c:pt>
                <c:pt idx="33">
                  <c:v>2.8074029823169755</c:v>
                </c:pt>
                <c:pt idx="34">
                  <c:v>2.8823588240863427</c:v>
                </c:pt>
                <c:pt idx="35">
                  <c:v>2.9484339561582562</c:v>
                </c:pt>
                <c:pt idx="36">
                  <c:v>3</c:v>
                </c:pt>
                <c:pt idx="37">
                  <c:v>3.0340326306840453</c:v>
                </c:pt>
                <c:pt idx="38">
                  <c:v>3.0535561731379199</c:v>
                </c:pt>
                <c:pt idx="39">
                  <c:v>3.0641990058943414</c:v>
                </c:pt>
                <c:pt idx="40">
                  <c:v>3.0701336526307941</c:v>
                </c:pt>
                <c:pt idx="41">
                  <c:v>3.0736237921523535</c:v>
                </c:pt>
                <c:pt idx="42">
                  <c:v>3.0757977723155872</c:v>
                </c:pt>
                <c:pt idx="43">
                  <c:v>3.0772243343991317</c:v>
                </c:pt>
                <c:pt idx="44">
                  <c:v>3.0782031210794898</c:v>
                </c:pt>
                <c:pt idx="45">
                  <c:v>3.0789003592096433</c:v>
                </c:pt>
                <c:pt idx="46">
                  <c:v>3.0794129540006816</c:v>
                </c:pt>
                <c:pt idx="47">
                  <c:v>3.0797999852659359</c:v>
                </c:pt>
                <c:pt idx="48">
                  <c:v>3.0800989224117177</c:v>
                </c:pt>
                <c:pt idx="49">
                  <c:v>3.0803343647425661</c:v>
                </c:pt>
                <c:pt idx="50">
                  <c:v>3.0805229580169495</c:v>
                </c:pt>
                <c:pt idx="51">
                  <c:v>3.0806762690626917</c:v>
                </c:pt>
                <c:pt idx="52">
                  <c:v>3.0808025258275267</c:v>
                </c:pt>
                <c:pt idx="53">
                  <c:v>3.0809077038701784</c:v>
                </c:pt>
                <c:pt idx="54">
                  <c:v>3.0809962238942927</c:v>
                </c:pt>
                <c:pt idx="55">
                  <c:v>3.0810714108874939</c:v>
                </c:pt>
                <c:pt idx="56">
                  <c:v>3.0811358032113043</c:v>
                </c:pt>
                <c:pt idx="57">
                  <c:v>3.0811913649487201</c:v>
                </c:pt>
                <c:pt idx="58">
                  <c:v>3.0812396345016548</c:v>
                </c:pt>
                <c:pt idx="59">
                  <c:v>3.0812818303357399</c:v>
                </c:pt>
                <c:pt idx="60">
                  <c:v>3.0813189273920756</c:v>
                </c:pt>
                <c:pt idx="61">
                  <c:v>3.0813517130835435</c:v>
                </c:pt>
                <c:pt idx="62">
                  <c:v>3.0813808288634372</c:v>
                </c:pt>
                <c:pt idx="63">
                  <c:v>3.0814068014533849</c:v>
                </c:pt>
                <c:pt idx="64">
                  <c:v>3.0814300665627186</c:v>
                </c:pt>
                <c:pt idx="65">
                  <c:v>3.0814509870896085</c:v>
                </c:pt>
                <c:pt idx="66">
                  <c:v>3.0814698672210055</c:v>
                </c:pt>
                <c:pt idx="67">
                  <c:v>3.0814869634525843</c:v>
                </c:pt>
                <c:pt idx="68">
                  <c:v>3.0815024932729651</c:v>
                </c:pt>
                <c:pt idx="69">
                  <c:v>3.0815166420604321</c:v>
                </c:pt>
                <c:pt idx="70">
                  <c:v>3.0815295685999664</c:v>
                </c:pt>
                <c:pt idx="71">
                  <c:v>3.0815414095267966</c:v>
                </c:pt>
                <c:pt idx="72">
                  <c:v>3.0815522829283895</c:v>
                </c:pt>
                <c:pt idx="73">
                  <c:v>3.0816345285762101</c:v>
                </c:pt>
                <c:pt idx="74">
                  <c:v>3.0816726977702853</c:v>
                </c:pt>
                <c:pt idx="75">
                  <c:v>3.0816934585975999</c:v>
                </c:pt>
                <c:pt idx="76">
                  <c:v>3.0817059859058533</c:v>
                </c:pt>
                <c:pt idx="77">
                  <c:v>3.0817141203122724</c:v>
                </c:pt>
                <c:pt idx="78">
                  <c:v>3.0817196989193159</c:v>
                </c:pt>
                <c:pt idx="79">
                  <c:v>3.0817236901052887</c:v>
                </c:pt>
                <c:pt idx="80">
                  <c:v>3.0817266435832438</c:v>
                </c:pt>
                <c:pt idx="81">
                  <c:v>3.0817288902027267</c:v>
                </c:pt>
                <c:pt idx="82">
                  <c:v>3.0817306387548045</c:v>
                </c:pt>
                <c:pt idx="83">
                  <c:v>3.0817320262731775</c:v>
                </c:pt>
                <c:pt idx="84">
                  <c:v>3.0817331457140007</c:v>
                </c:pt>
                <c:pt idx="85">
                  <c:v>3.0817340619353604</c:v>
                </c:pt>
                <c:pt idx="86">
                  <c:v>3.0817348213052256</c:v>
                </c:pt>
                <c:pt idx="87">
                  <c:v>3.0817354576841192</c:v>
                </c:pt>
                <c:pt idx="88">
                  <c:v>3.0817359962654884</c:v>
                </c:pt>
                <c:pt idx="89">
                  <c:v>3.0817364561076368</c:v>
                </c:pt>
                <c:pt idx="90">
                  <c:v>3.0817368518429631</c:v>
                </c:pt>
                <c:pt idx="91">
                  <c:v>3.0817371948563865</c:v>
                </c:pt>
                <c:pt idx="92">
                  <c:v>3.081737494113328</c:v>
                </c:pt>
                <c:pt idx="93">
                  <c:v>3.0817377567514885</c:v>
                </c:pt>
                <c:pt idx="94">
                  <c:v>3.0817379885103948</c:v>
                </c:pt>
                <c:pt idx="95">
                  <c:v>3.0817381940476261</c:v>
                </c:pt>
                <c:pt idx="96">
                  <c:v>3.0817383771746343</c:v>
                </c:pt>
                <c:pt idx="97">
                  <c:v>3.0817390500791939</c:v>
                </c:pt>
                <c:pt idx="98">
                  <c:v>3.0817394691477524</c:v>
                </c:pt>
                <c:pt idx="99">
                  <c:v>3.0817397476772013</c:v>
                </c:pt>
                <c:pt idx="100">
                  <c:v>3.0817399421443703</c:v>
                </c:pt>
                <c:pt idx="101">
                  <c:v>3.0817400832637247</c:v>
                </c:pt>
                <c:pt idx="102">
                  <c:v>3.0817401889032046</c:v>
                </c:pt>
                <c:pt idx="103">
                  <c:v>3.0817402700314003</c:v>
                </c:pt>
                <c:pt idx="104">
                  <c:v>3.0817403336839879</c:v>
                </c:pt>
                <c:pt idx="105">
                  <c:v>3.0817403845421447</c:v>
                </c:pt>
                <c:pt idx="106">
                  <c:v>3.0817404258184764</c:v>
                </c:pt>
                <c:pt idx="107">
                  <c:v>3.0817404597770937</c:v>
                </c:pt>
                <c:pt idx="108">
                  <c:v>3.0817404880508237</c:v>
                </c:pt>
                <c:pt idx="109">
                  <c:v>3.0817405118412347</c:v>
                </c:pt>
                <c:pt idx="110">
                  <c:v>3.0817405320484377</c:v>
                </c:pt>
                <c:pt idx="111">
                  <c:v>3.0817405493574883</c:v>
                </c:pt>
                <c:pt idx="112">
                  <c:v>3.0817405642972089</c:v>
                </c:pt>
                <c:pt idx="113">
                  <c:v>3.0817405772811046</c:v>
                </c:pt>
                <c:pt idx="114">
                  <c:v>3.0817405886362428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8D-4ABC-B294-7AB222459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464416"/>
        <c:axId val="1535455776"/>
      </c:scatterChart>
      <c:valAx>
        <c:axId val="1535464416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55776"/>
        <c:crosses val="autoZero"/>
        <c:crossBetween val="midCat"/>
      </c:valAx>
      <c:valAx>
        <c:axId val="153545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64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年齢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m=3, k=min(0.407)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'Sheet2_2 (3_m1)'!$D$3:$D$117</c:f>
              <c:numCache>
                <c:formatCode>0.00_);[Red]\(0.00\)</c:formatCode>
                <c:ptCount val="115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1.5833333333333335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1.8333333333333335</c:v>
                </c:pt>
                <c:pt idx="23">
                  <c:v>1.9166666666666665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35</c:v>
                </c:pt>
                <c:pt idx="98">
                  <c:v>40</c:v>
                </c:pt>
                <c:pt idx="99">
                  <c:v>45</c:v>
                </c:pt>
                <c:pt idx="100">
                  <c:v>50</c:v>
                </c:pt>
                <c:pt idx="101">
                  <c:v>55</c:v>
                </c:pt>
                <c:pt idx="102">
                  <c:v>60</c:v>
                </c:pt>
                <c:pt idx="103">
                  <c:v>65</c:v>
                </c:pt>
                <c:pt idx="104">
                  <c:v>70</c:v>
                </c:pt>
                <c:pt idx="105">
                  <c:v>75</c:v>
                </c:pt>
                <c:pt idx="106">
                  <c:v>80</c:v>
                </c:pt>
                <c:pt idx="107">
                  <c:v>85</c:v>
                </c:pt>
                <c:pt idx="108">
                  <c:v>90</c:v>
                </c:pt>
                <c:pt idx="109">
                  <c:v>95</c:v>
                </c:pt>
                <c:pt idx="110">
                  <c:v>100</c:v>
                </c:pt>
                <c:pt idx="111">
                  <c:v>105</c:v>
                </c:pt>
                <c:pt idx="112">
                  <c:v>110</c:v>
                </c:pt>
                <c:pt idx="113">
                  <c:v>115</c:v>
                </c:pt>
                <c:pt idx="114">
                  <c:v>120</c:v>
                </c:pt>
              </c:numCache>
            </c:numRef>
          </c:xVal>
          <c:yVal>
            <c:numRef>
              <c:f>'Sheet2_2 (3_m1)'!$F$3:$F$117</c:f>
              <c:numCache>
                <c:formatCode>0.000_ </c:formatCode>
                <c:ptCount val="115"/>
                <c:pt idx="0">
                  <c:v>0</c:v>
                </c:pt>
                <c:pt idx="1">
                  <c:v>9.9776970356995065E-2</c:v>
                </c:pt>
                <c:pt idx="2">
                  <c:v>0.19915746692355363</c:v>
                </c:pt>
                <c:pt idx="3">
                  <c:v>0.29811400155536072</c:v>
                </c:pt>
                <c:pt idx="4">
                  <c:v>0.39661705366389466</c:v>
                </c:pt>
                <c:pt idx="5">
                  <c:v>0.49463493615681298</c:v>
                </c:pt>
                <c:pt idx="6">
                  <c:v>0.5921336584688448</c:v>
                </c:pt>
                <c:pt idx="7">
                  <c:v>0.68907678823686513</c:v>
                </c:pt>
                <c:pt idx="8">
                  <c:v>0.78542531361922219</c:v>
                </c:pt>
                <c:pt idx="9">
                  <c:v>0.8811375087777038</c:v>
                </c:pt>
                <c:pt idx="10">
                  <c:v>0.97616880563324626</c:v>
                </c:pt>
                <c:pt idx="11">
                  <c:v>1.0704716756727959</c:v>
                </c:pt>
                <c:pt idx="12">
                  <c:v>1.1639955263188662</c:v>
                </c:pt>
                <c:pt idx="13">
                  <c:v>1.2566866171632984</c:v>
                </c:pt>
                <c:pt idx="14">
                  <c:v>1.348488002192002</c:v>
                </c:pt>
                <c:pt idx="15">
                  <c:v>1.4393395049569584</c:v>
                </c:pt>
                <c:pt idx="16">
                  <c:v>1.529177734442043</c:v>
                </c:pt>
                <c:pt idx="17">
                  <c:v>1.6179361500622855</c:v>
                </c:pt>
                <c:pt idx="18">
                  <c:v>1.7055451847588752</c:v>
                </c:pt>
                <c:pt idx="19">
                  <c:v>1.7919324354158852</c:v>
                </c:pt>
                <c:pt idx="20">
                  <c:v>1.8770229297275149</c:v>
                </c:pt>
                <c:pt idx="21">
                  <c:v>1.9607394780756184</c:v>
                </c:pt>
                <c:pt idx="22">
                  <c:v>2.0430031178239352</c:v>
                </c:pt>
                <c:pt idx="23">
                  <c:v>2.1237336555945663</c:v>
                </c:pt>
                <c:pt idx="24">
                  <c:v>2.202850310484489</c:v>
                </c:pt>
                <c:pt idx="25">
                  <c:v>2.2802724577671247</c:v>
                </c:pt>
                <c:pt idx="26">
                  <c:v>2.3559204684284341</c:v>
                </c:pt>
                <c:pt idx="27">
                  <c:v>2.4297166350091963</c:v>
                </c:pt>
                <c:pt idx="28">
                  <c:v>2.5015861688584091</c:v>
                </c:pt>
                <c:pt idx="29">
                  <c:v>2.5714582483388844</c:v>
                </c:pt>
                <c:pt idx="30">
                  <c:v>2.6392670921495429</c:v>
                </c:pt>
                <c:pt idx="31">
                  <c:v>2.7049530271953959</c:v>
                </c:pt>
                <c:pt idx="32">
                  <c:v>2.7684635168350882</c:v>
                </c:pt>
                <c:pt idx="33">
                  <c:v>2.8297541133377693</c:v>
                </c:pt>
                <c:pt idx="34">
                  <c:v>2.8887892983760506</c:v>
                </c:pt>
                <c:pt idx="35">
                  <c:v>2.9455431776169823</c:v>
                </c:pt>
                <c:pt idx="36">
                  <c:v>3</c:v>
                </c:pt>
                <c:pt idx="37">
                  <c:v>3.0521544789349178</c:v>
                </c:pt>
                <c:pt idx="38">
                  <c:v>3.1020119010119216</c:v>
                </c:pt>
                <c:pt idx="39">
                  <c:v>3.1495880172915762</c:v>
                </c:pt>
                <c:pt idx="40">
                  <c:v>3.1949087221068302</c:v>
                </c:pt>
                <c:pt idx="41">
                  <c:v>3.2380095337850729</c:v>
                </c:pt>
                <c:pt idx="42">
                  <c:v>3.2789349000571564</c:v>
                </c:pt>
                <c:pt idx="43">
                  <c:v>3.3177373575644333</c:v>
                </c:pt>
                <c:pt idx="44">
                  <c:v>3.3544765794018936</c:v>
                </c:pt>
                <c:pt idx="45">
                  <c:v>3.3892183468706163</c:v>
                </c:pt>
                <c:pt idx="46">
                  <c:v>3.42203348160779</c:v>
                </c:pt>
                <c:pt idx="47">
                  <c:v>3.4529967722644157</c:v>
                </c:pt>
                <c:pt idx="48">
                  <c:v>3.4821859262997155</c:v>
                </c:pt>
                <c:pt idx="49">
                  <c:v>3.5096805727277287</c:v>
                </c:pt>
                <c:pt idx="50">
                  <c:v>3.5355613362750322</c:v>
                </c:pt>
                <c:pt idx="51">
                  <c:v>3.5599089978446514</c:v>
                </c:pt>
                <c:pt idx="52">
                  <c:v>3.5828037508144837</c:v>
                </c:pt>
                <c:pt idx="53">
                  <c:v>3.6043245578207892</c:v>
                </c:pt>
                <c:pt idx="54">
                  <c:v>3.6245486084817147</c:v>
                </c:pt>
                <c:pt idx="55">
                  <c:v>3.6435508751030605</c:v>
                </c:pt>
                <c:pt idx="56">
                  <c:v>3.6614037608007539</c:v>
                </c:pt>
                <c:pt idx="57">
                  <c:v>3.6781768326336048</c:v>
                </c:pt>
                <c:pt idx="58">
                  <c:v>3.6939366311865838</c:v>
                </c:pt>
                <c:pt idx="59">
                  <c:v>3.7087465474758163</c:v>
                </c:pt>
                <c:pt idx="60">
                  <c:v>3.7226667579493191</c:v>
                </c:pt>
                <c:pt idx="61">
                  <c:v>3.7357542086211843</c:v>
                </c:pt>
                <c:pt idx="62">
                  <c:v>3.7480626398995702</c:v>
                </c:pt>
                <c:pt idx="63">
                  <c:v>3.7596426443619637</c:v>
                </c:pt>
                <c:pt idx="64">
                  <c:v>3.7705417505214172</c:v>
                </c:pt>
                <c:pt idx="65">
                  <c:v>3.7808045264569952</c:v>
                </c:pt>
                <c:pt idx="66">
                  <c:v>3.7904726980069108</c:v>
                </c:pt>
                <c:pt idx="67">
                  <c:v>3.7995852770128149</c:v>
                </c:pt>
                <c:pt idx="68">
                  <c:v>3.8081786958378316</c:v>
                </c:pt>
                <c:pt idx="69">
                  <c:v>3.8162869450472332</c:v>
                </c:pt>
                <c:pt idx="70">
                  <c:v>3.8239417117333621</c:v>
                </c:pt>
                <c:pt idx="71">
                  <c:v>3.831172516484739</c:v>
                </c:pt>
                <c:pt idx="72">
                  <c:v>3.8380068474456799</c:v>
                </c:pt>
                <c:pt idx="73">
                  <c:v>3.8968489565241957</c:v>
                </c:pt>
                <c:pt idx="74">
                  <c:v>3.929543328922517</c:v>
                </c:pt>
                <c:pt idx="75">
                  <c:v>3.9491820948058294</c:v>
                </c:pt>
                <c:pt idx="76">
                  <c:v>3.9617642227544181</c:v>
                </c:pt>
                <c:pt idx="77">
                  <c:v>3.9702569571704434</c:v>
                </c:pt>
                <c:pt idx="78">
                  <c:v>3.9762371536765864</c:v>
                </c:pt>
                <c:pt idx="79">
                  <c:v>3.9805967153549124</c:v>
                </c:pt>
                <c:pt idx="80">
                  <c:v>3.9838676218614841</c:v>
                </c:pt>
                <c:pt idx="81">
                  <c:v>3.9863817986879959</c:v>
                </c:pt>
                <c:pt idx="82">
                  <c:v>3.988354460550092</c:v>
                </c:pt>
                <c:pt idx="83">
                  <c:v>3.9899298295480481</c:v>
                </c:pt>
                <c:pt idx="84">
                  <c:v>3.9912073527673373</c:v>
                </c:pt>
                <c:pt idx="85">
                  <c:v>3.9922573321684158</c:v>
                </c:pt>
                <c:pt idx="86">
                  <c:v>3.9931305655724847</c:v>
                </c:pt>
                <c:pt idx="87">
                  <c:v>3.9938644751564798</c:v>
                </c:pt>
                <c:pt idx="88">
                  <c:v>3.9944871086079932</c:v>
                </c:pt>
                <c:pt idx="89">
                  <c:v>3.9950198144076792</c:v>
                </c:pt>
                <c:pt idx="90">
                  <c:v>3.9954790692669371</c:v>
                </c:pt>
                <c:pt idx="91">
                  <c:v>3.9958777507239756</c:v>
                </c:pt>
                <c:pt idx="92">
                  <c:v>3.996226038973778</c:v>
                </c:pt>
                <c:pt idx="93">
                  <c:v>3.9965320661893418</c:v>
                </c:pt>
                <c:pt idx="94">
                  <c:v>3.9968023908697035</c:v>
                </c:pt>
                <c:pt idx="95">
                  <c:v>3.9970423490055187</c:v>
                </c:pt>
                <c:pt idx="96">
                  <c:v>3.9972563172518192</c:v>
                </c:pt>
                <c:pt idx="97">
                  <c:v>3.9980439551585913</c:v>
                </c:pt>
                <c:pt idx="98">
                  <c:v>3.9985355977493651</c:v>
                </c:pt>
                <c:pt idx="99">
                  <c:v>3.9988628403273161</c:v>
                </c:pt>
                <c:pt idx="100">
                  <c:v>3.9990915452220164</c:v>
                </c:pt>
                <c:pt idx="101">
                  <c:v>3.9992576267701958</c:v>
                </c:pt>
                <c:pt idx="102">
                  <c:v>3.9993820168935068</c:v>
                </c:pt>
                <c:pt idx="103">
                  <c:v>3.99947758251772</c:v>
                </c:pt>
                <c:pt idx="104">
                  <c:v>3.9995525853993739</c:v>
                </c:pt>
                <c:pt idx="105">
                  <c:v>3.999612526809146</c:v>
                </c:pt>
                <c:pt idx="106">
                  <c:v>3.9996611845002787</c:v>
                </c:pt>
                <c:pt idx="107">
                  <c:v>3.9997012221887034</c:v>
                </c:pt>
                <c:pt idx="108">
                  <c:v>3.9997345616743667</c:v>
                </c:pt>
                <c:pt idx="109">
                  <c:v>3.9997626176436039</c:v>
                </c:pt>
                <c:pt idx="110">
                  <c:v>3.9997864501466269</c:v>
                </c:pt>
                <c:pt idx="111">
                  <c:v>3.9998068661550579</c:v>
                </c:pt>
                <c:pt idx="112">
                  <c:v>3.9998244887435348</c:v>
                </c:pt>
                <c:pt idx="113">
                  <c:v>3.9998398051745689</c:v>
                </c:pt>
                <c:pt idx="114">
                  <c:v>3.9998532009305223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29-4EF4-8CAB-CB3837FA2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464416"/>
        <c:axId val="1535455776"/>
      </c:scatterChart>
      <c:valAx>
        <c:axId val="153546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55776"/>
        <c:crosses val="autoZero"/>
        <c:crossBetween val="midCat"/>
      </c:valAx>
      <c:valAx>
        <c:axId val="153545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64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年齢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m=3, k=min1(0.407)</c:v>
          </c:tx>
          <c:marker>
            <c:symbol val="none"/>
          </c:marker>
          <c:xVal>
            <c:numRef>
              <c:f>'Sheet2_2 (3_m1)'!$D$3:$D$117</c:f>
              <c:numCache>
                <c:formatCode>0.00_);[Red]\(0.00\)</c:formatCode>
                <c:ptCount val="115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1.5833333333333335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1.8333333333333335</c:v>
                </c:pt>
                <c:pt idx="23">
                  <c:v>1.9166666666666665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35</c:v>
                </c:pt>
                <c:pt idx="98">
                  <c:v>40</c:v>
                </c:pt>
                <c:pt idx="99">
                  <c:v>45</c:v>
                </c:pt>
                <c:pt idx="100">
                  <c:v>50</c:v>
                </c:pt>
                <c:pt idx="101">
                  <c:v>55</c:v>
                </c:pt>
                <c:pt idx="102">
                  <c:v>60</c:v>
                </c:pt>
                <c:pt idx="103">
                  <c:v>65</c:v>
                </c:pt>
                <c:pt idx="104">
                  <c:v>70</c:v>
                </c:pt>
                <c:pt idx="105">
                  <c:v>75</c:v>
                </c:pt>
                <c:pt idx="106">
                  <c:v>80</c:v>
                </c:pt>
                <c:pt idx="107">
                  <c:v>85</c:v>
                </c:pt>
                <c:pt idx="108">
                  <c:v>90</c:v>
                </c:pt>
                <c:pt idx="109">
                  <c:v>95</c:v>
                </c:pt>
                <c:pt idx="110">
                  <c:v>100</c:v>
                </c:pt>
                <c:pt idx="111">
                  <c:v>105</c:v>
                </c:pt>
                <c:pt idx="112">
                  <c:v>110</c:v>
                </c:pt>
                <c:pt idx="113">
                  <c:v>115</c:v>
                </c:pt>
                <c:pt idx="114">
                  <c:v>120</c:v>
                </c:pt>
              </c:numCache>
            </c:numRef>
          </c:xVal>
          <c:yVal>
            <c:numRef>
              <c:f>'Sheet2_2 (3_m1)'!$F$3:$F$117</c:f>
              <c:numCache>
                <c:formatCode>0.000_ </c:formatCode>
                <c:ptCount val="115"/>
                <c:pt idx="0">
                  <c:v>0</c:v>
                </c:pt>
                <c:pt idx="1">
                  <c:v>9.9776970356995065E-2</c:v>
                </c:pt>
                <c:pt idx="2">
                  <c:v>0.19915746692355363</c:v>
                </c:pt>
                <c:pt idx="3">
                  <c:v>0.29811400155536072</c:v>
                </c:pt>
                <c:pt idx="4">
                  <c:v>0.39661705366389466</c:v>
                </c:pt>
                <c:pt idx="5">
                  <c:v>0.49463493615681298</c:v>
                </c:pt>
                <c:pt idx="6">
                  <c:v>0.5921336584688448</c:v>
                </c:pt>
                <c:pt idx="7">
                  <c:v>0.68907678823686513</c:v>
                </c:pt>
                <c:pt idx="8">
                  <c:v>0.78542531361922219</c:v>
                </c:pt>
                <c:pt idx="9">
                  <c:v>0.8811375087777038</c:v>
                </c:pt>
                <c:pt idx="10">
                  <c:v>0.97616880563324626</c:v>
                </c:pt>
                <c:pt idx="11">
                  <c:v>1.0704716756727959</c:v>
                </c:pt>
                <c:pt idx="12">
                  <c:v>1.1639955263188662</c:v>
                </c:pt>
                <c:pt idx="13">
                  <c:v>1.2566866171632984</c:v>
                </c:pt>
                <c:pt idx="14">
                  <c:v>1.348488002192002</c:v>
                </c:pt>
                <c:pt idx="15">
                  <c:v>1.4393395049569584</c:v>
                </c:pt>
                <c:pt idx="16">
                  <c:v>1.529177734442043</c:v>
                </c:pt>
                <c:pt idx="17">
                  <c:v>1.6179361500622855</c:v>
                </c:pt>
                <c:pt idx="18">
                  <c:v>1.7055451847588752</c:v>
                </c:pt>
                <c:pt idx="19">
                  <c:v>1.7919324354158852</c:v>
                </c:pt>
                <c:pt idx="20">
                  <c:v>1.8770229297275149</c:v>
                </c:pt>
                <c:pt idx="21">
                  <c:v>1.9607394780756184</c:v>
                </c:pt>
                <c:pt idx="22">
                  <c:v>2.0430031178239352</c:v>
                </c:pt>
                <c:pt idx="23">
                  <c:v>2.1237336555945663</c:v>
                </c:pt>
                <c:pt idx="24">
                  <c:v>2.202850310484489</c:v>
                </c:pt>
                <c:pt idx="25">
                  <c:v>2.2802724577671247</c:v>
                </c:pt>
                <c:pt idx="26">
                  <c:v>2.3559204684284341</c:v>
                </c:pt>
                <c:pt idx="27">
                  <c:v>2.4297166350091963</c:v>
                </c:pt>
                <c:pt idx="28">
                  <c:v>2.5015861688584091</c:v>
                </c:pt>
                <c:pt idx="29">
                  <c:v>2.5714582483388844</c:v>
                </c:pt>
                <c:pt idx="30">
                  <c:v>2.6392670921495429</c:v>
                </c:pt>
                <c:pt idx="31">
                  <c:v>2.7049530271953959</c:v>
                </c:pt>
                <c:pt idx="32">
                  <c:v>2.7684635168350882</c:v>
                </c:pt>
                <c:pt idx="33">
                  <c:v>2.8297541133377693</c:v>
                </c:pt>
                <c:pt idx="34">
                  <c:v>2.8887892983760506</c:v>
                </c:pt>
                <c:pt idx="35">
                  <c:v>2.9455431776169823</c:v>
                </c:pt>
                <c:pt idx="36">
                  <c:v>3</c:v>
                </c:pt>
                <c:pt idx="37">
                  <c:v>3.0521544789349178</c:v>
                </c:pt>
                <c:pt idx="38">
                  <c:v>3.1020119010119216</c:v>
                </c:pt>
                <c:pt idx="39">
                  <c:v>3.1495880172915762</c:v>
                </c:pt>
                <c:pt idx="40">
                  <c:v>3.1949087221068302</c:v>
                </c:pt>
                <c:pt idx="41">
                  <c:v>3.2380095337850729</c:v>
                </c:pt>
                <c:pt idx="42">
                  <c:v>3.2789349000571564</c:v>
                </c:pt>
                <c:pt idx="43">
                  <c:v>3.3177373575644333</c:v>
                </c:pt>
                <c:pt idx="44">
                  <c:v>3.3544765794018936</c:v>
                </c:pt>
                <c:pt idx="45">
                  <c:v>3.3892183468706163</c:v>
                </c:pt>
                <c:pt idx="46">
                  <c:v>3.42203348160779</c:v>
                </c:pt>
                <c:pt idx="47">
                  <c:v>3.4529967722644157</c:v>
                </c:pt>
                <c:pt idx="48">
                  <c:v>3.4821859262997155</c:v>
                </c:pt>
                <c:pt idx="49">
                  <c:v>3.5096805727277287</c:v>
                </c:pt>
                <c:pt idx="50">
                  <c:v>3.5355613362750322</c:v>
                </c:pt>
                <c:pt idx="51">
                  <c:v>3.5599089978446514</c:v>
                </c:pt>
                <c:pt idx="52">
                  <c:v>3.5828037508144837</c:v>
                </c:pt>
                <c:pt idx="53">
                  <c:v>3.6043245578207892</c:v>
                </c:pt>
                <c:pt idx="54">
                  <c:v>3.6245486084817147</c:v>
                </c:pt>
                <c:pt idx="55">
                  <c:v>3.6435508751030605</c:v>
                </c:pt>
                <c:pt idx="56">
                  <c:v>3.6614037608007539</c:v>
                </c:pt>
                <c:pt idx="57">
                  <c:v>3.6781768326336048</c:v>
                </c:pt>
                <c:pt idx="58">
                  <c:v>3.6939366311865838</c:v>
                </c:pt>
                <c:pt idx="59">
                  <c:v>3.7087465474758163</c:v>
                </c:pt>
                <c:pt idx="60">
                  <c:v>3.7226667579493191</c:v>
                </c:pt>
                <c:pt idx="61">
                  <c:v>3.7357542086211843</c:v>
                </c:pt>
                <c:pt idx="62">
                  <c:v>3.7480626398995702</c:v>
                </c:pt>
                <c:pt idx="63">
                  <c:v>3.7596426443619637</c:v>
                </c:pt>
                <c:pt idx="64">
                  <c:v>3.7705417505214172</c:v>
                </c:pt>
                <c:pt idx="65">
                  <c:v>3.7808045264569952</c:v>
                </c:pt>
                <c:pt idx="66">
                  <c:v>3.7904726980069108</c:v>
                </c:pt>
                <c:pt idx="67">
                  <c:v>3.7995852770128149</c:v>
                </c:pt>
                <c:pt idx="68">
                  <c:v>3.8081786958378316</c:v>
                </c:pt>
                <c:pt idx="69">
                  <c:v>3.8162869450472332</c:v>
                </c:pt>
                <c:pt idx="70">
                  <c:v>3.8239417117333621</c:v>
                </c:pt>
                <c:pt idx="71">
                  <c:v>3.831172516484739</c:v>
                </c:pt>
                <c:pt idx="72">
                  <c:v>3.8380068474456799</c:v>
                </c:pt>
                <c:pt idx="73">
                  <c:v>3.8968489565241957</c:v>
                </c:pt>
                <c:pt idx="74">
                  <c:v>3.929543328922517</c:v>
                </c:pt>
                <c:pt idx="75">
                  <c:v>3.9491820948058294</c:v>
                </c:pt>
                <c:pt idx="76">
                  <c:v>3.9617642227544181</c:v>
                </c:pt>
                <c:pt idx="77">
                  <c:v>3.9702569571704434</c:v>
                </c:pt>
                <c:pt idx="78">
                  <c:v>3.9762371536765864</c:v>
                </c:pt>
                <c:pt idx="79">
                  <c:v>3.9805967153549124</c:v>
                </c:pt>
                <c:pt idx="80">
                  <c:v>3.9838676218614841</c:v>
                </c:pt>
                <c:pt idx="81">
                  <c:v>3.9863817986879959</c:v>
                </c:pt>
                <c:pt idx="82">
                  <c:v>3.988354460550092</c:v>
                </c:pt>
                <c:pt idx="83">
                  <c:v>3.9899298295480481</c:v>
                </c:pt>
                <c:pt idx="84">
                  <c:v>3.9912073527673373</c:v>
                </c:pt>
                <c:pt idx="85">
                  <c:v>3.9922573321684158</c:v>
                </c:pt>
                <c:pt idx="86">
                  <c:v>3.9931305655724847</c:v>
                </c:pt>
                <c:pt idx="87">
                  <c:v>3.9938644751564798</c:v>
                </c:pt>
                <c:pt idx="88">
                  <c:v>3.9944871086079932</c:v>
                </c:pt>
                <c:pt idx="89">
                  <c:v>3.9950198144076792</c:v>
                </c:pt>
                <c:pt idx="90">
                  <c:v>3.9954790692669371</c:v>
                </c:pt>
                <c:pt idx="91">
                  <c:v>3.9958777507239756</c:v>
                </c:pt>
                <c:pt idx="92">
                  <c:v>3.996226038973778</c:v>
                </c:pt>
                <c:pt idx="93">
                  <c:v>3.9965320661893418</c:v>
                </c:pt>
                <c:pt idx="94">
                  <c:v>3.9968023908697035</c:v>
                </c:pt>
                <c:pt idx="95">
                  <c:v>3.9970423490055187</c:v>
                </c:pt>
                <c:pt idx="96">
                  <c:v>3.9972563172518192</c:v>
                </c:pt>
                <c:pt idx="97">
                  <c:v>3.9980439551585913</c:v>
                </c:pt>
                <c:pt idx="98">
                  <c:v>3.9985355977493651</c:v>
                </c:pt>
                <c:pt idx="99">
                  <c:v>3.9988628403273161</c:v>
                </c:pt>
                <c:pt idx="100">
                  <c:v>3.9990915452220164</c:v>
                </c:pt>
                <c:pt idx="101">
                  <c:v>3.9992576267701958</c:v>
                </c:pt>
                <c:pt idx="102">
                  <c:v>3.9993820168935068</c:v>
                </c:pt>
                <c:pt idx="103">
                  <c:v>3.99947758251772</c:v>
                </c:pt>
                <c:pt idx="104">
                  <c:v>3.9995525853993739</c:v>
                </c:pt>
                <c:pt idx="105">
                  <c:v>3.999612526809146</c:v>
                </c:pt>
                <c:pt idx="106">
                  <c:v>3.9996611845002787</c:v>
                </c:pt>
                <c:pt idx="107">
                  <c:v>3.9997012221887034</c:v>
                </c:pt>
                <c:pt idx="108">
                  <c:v>3.9997345616743667</c:v>
                </c:pt>
                <c:pt idx="109">
                  <c:v>3.9997626176436039</c:v>
                </c:pt>
                <c:pt idx="110">
                  <c:v>3.9997864501466269</c:v>
                </c:pt>
                <c:pt idx="111">
                  <c:v>3.9998068661550579</c:v>
                </c:pt>
                <c:pt idx="112">
                  <c:v>3.9998244887435348</c:v>
                </c:pt>
                <c:pt idx="113">
                  <c:v>3.9998398051745689</c:v>
                </c:pt>
                <c:pt idx="114">
                  <c:v>3.9998532009305223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2B-4BEB-BBA6-C54D0B53A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464416"/>
        <c:axId val="1535455776"/>
      </c:scatterChart>
      <c:valAx>
        <c:axId val="153546441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55776"/>
        <c:crosses val="autoZero"/>
        <c:crossBetween val="midCat"/>
      </c:valAx>
      <c:valAx>
        <c:axId val="153545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64416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年齢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m=3, k=min1(0.407)</c:v>
          </c:tx>
          <c:marker>
            <c:symbol val="none"/>
          </c:marker>
          <c:xVal>
            <c:numRef>
              <c:f>'Sheet2_2 (3_m1)'!$D$3:$D$117</c:f>
              <c:numCache>
                <c:formatCode>0.00_);[Red]\(0.00\)</c:formatCode>
                <c:ptCount val="115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1.5833333333333335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1.8333333333333335</c:v>
                </c:pt>
                <c:pt idx="23">
                  <c:v>1.9166666666666665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35</c:v>
                </c:pt>
                <c:pt idx="98">
                  <c:v>40</c:v>
                </c:pt>
                <c:pt idx="99">
                  <c:v>45</c:v>
                </c:pt>
                <c:pt idx="100">
                  <c:v>50</c:v>
                </c:pt>
                <c:pt idx="101">
                  <c:v>55</c:v>
                </c:pt>
                <c:pt idx="102">
                  <c:v>60</c:v>
                </c:pt>
                <c:pt idx="103">
                  <c:v>65</c:v>
                </c:pt>
                <c:pt idx="104">
                  <c:v>70</c:v>
                </c:pt>
                <c:pt idx="105">
                  <c:v>75</c:v>
                </c:pt>
                <c:pt idx="106">
                  <c:v>80</c:v>
                </c:pt>
                <c:pt idx="107">
                  <c:v>85</c:v>
                </c:pt>
                <c:pt idx="108">
                  <c:v>90</c:v>
                </c:pt>
                <c:pt idx="109">
                  <c:v>95</c:v>
                </c:pt>
                <c:pt idx="110">
                  <c:v>100</c:v>
                </c:pt>
                <c:pt idx="111">
                  <c:v>105</c:v>
                </c:pt>
                <c:pt idx="112">
                  <c:v>110</c:v>
                </c:pt>
                <c:pt idx="113">
                  <c:v>115</c:v>
                </c:pt>
                <c:pt idx="114">
                  <c:v>120</c:v>
                </c:pt>
              </c:numCache>
            </c:numRef>
          </c:xVal>
          <c:yVal>
            <c:numRef>
              <c:f>'Sheet2_2 (3_m1)'!$F$3:$F$117</c:f>
              <c:numCache>
                <c:formatCode>0.000_ </c:formatCode>
                <c:ptCount val="115"/>
                <c:pt idx="0">
                  <c:v>0</c:v>
                </c:pt>
                <c:pt idx="1">
                  <c:v>9.9776970356995065E-2</c:v>
                </c:pt>
                <c:pt idx="2">
                  <c:v>0.19915746692355363</c:v>
                </c:pt>
                <c:pt idx="3">
                  <c:v>0.29811400155536072</c:v>
                </c:pt>
                <c:pt idx="4">
                  <c:v>0.39661705366389466</c:v>
                </c:pt>
                <c:pt idx="5">
                  <c:v>0.49463493615681298</c:v>
                </c:pt>
                <c:pt idx="6">
                  <c:v>0.5921336584688448</c:v>
                </c:pt>
                <c:pt idx="7">
                  <c:v>0.68907678823686513</c:v>
                </c:pt>
                <c:pt idx="8">
                  <c:v>0.78542531361922219</c:v>
                </c:pt>
                <c:pt idx="9">
                  <c:v>0.8811375087777038</c:v>
                </c:pt>
                <c:pt idx="10">
                  <c:v>0.97616880563324626</c:v>
                </c:pt>
                <c:pt idx="11">
                  <c:v>1.0704716756727959</c:v>
                </c:pt>
                <c:pt idx="12">
                  <c:v>1.1639955263188662</c:v>
                </c:pt>
                <c:pt idx="13">
                  <c:v>1.2566866171632984</c:v>
                </c:pt>
                <c:pt idx="14">
                  <c:v>1.348488002192002</c:v>
                </c:pt>
                <c:pt idx="15">
                  <c:v>1.4393395049569584</c:v>
                </c:pt>
                <c:pt idx="16">
                  <c:v>1.529177734442043</c:v>
                </c:pt>
                <c:pt idx="17">
                  <c:v>1.6179361500622855</c:v>
                </c:pt>
                <c:pt idx="18">
                  <c:v>1.7055451847588752</c:v>
                </c:pt>
                <c:pt idx="19">
                  <c:v>1.7919324354158852</c:v>
                </c:pt>
                <c:pt idx="20">
                  <c:v>1.8770229297275149</c:v>
                </c:pt>
                <c:pt idx="21">
                  <c:v>1.9607394780756184</c:v>
                </c:pt>
                <c:pt idx="22">
                  <c:v>2.0430031178239352</c:v>
                </c:pt>
                <c:pt idx="23">
                  <c:v>2.1237336555945663</c:v>
                </c:pt>
                <c:pt idx="24">
                  <c:v>2.202850310484489</c:v>
                </c:pt>
                <c:pt idx="25">
                  <c:v>2.2802724577671247</c:v>
                </c:pt>
                <c:pt idx="26">
                  <c:v>2.3559204684284341</c:v>
                </c:pt>
                <c:pt idx="27">
                  <c:v>2.4297166350091963</c:v>
                </c:pt>
                <c:pt idx="28">
                  <c:v>2.5015861688584091</c:v>
                </c:pt>
                <c:pt idx="29">
                  <c:v>2.5714582483388844</c:v>
                </c:pt>
                <c:pt idx="30">
                  <c:v>2.6392670921495429</c:v>
                </c:pt>
                <c:pt idx="31">
                  <c:v>2.7049530271953959</c:v>
                </c:pt>
                <c:pt idx="32">
                  <c:v>2.7684635168350882</c:v>
                </c:pt>
                <c:pt idx="33">
                  <c:v>2.8297541133377693</c:v>
                </c:pt>
                <c:pt idx="34">
                  <c:v>2.8887892983760506</c:v>
                </c:pt>
                <c:pt idx="35">
                  <c:v>2.9455431776169823</c:v>
                </c:pt>
                <c:pt idx="36">
                  <c:v>3</c:v>
                </c:pt>
                <c:pt idx="37">
                  <c:v>3.0521544789349178</c:v>
                </c:pt>
                <c:pt idx="38">
                  <c:v>3.1020119010119216</c:v>
                </c:pt>
                <c:pt idx="39">
                  <c:v>3.1495880172915762</c:v>
                </c:pt>
                <c:pt idx="40">
                  <c:v>3.1949087221068302</c:v>
                </c:pt>
                <c:pt idx="41">
                  <c:v>3.2380095337850729</c:v>
                </c:pt>
                <c:pt idx="42">
                  <c:v>3.2789349000571564</c:v>
                </c:pt>
                <c:pt idx="43">
                  <c:v>3.3177373575644333</c:v>
                </c:pt>
                <c:pt idx="44">
                  <c:v>3.3544765794018936</c:v>
                </c:pt>
                <c:pt idx="45">
                  <c:v>3.3892183468706163</c:v>
                </c:pt>
                <c:pt idx="46">
                  <c:v>3.42203348160779</c:v>
                </c:pt>
                <c:pt idx="47">
                  <c:v>3.4529967722644157</c:v>
                </c:pt>
                <c:pt idx="48">
                  <c:v>3.4821859262997155</c:v>
                </c:pt>
                <c:pt idx="49">
                  <c:v>3.5096805727277287</c:v>
                </c:pt>
                <c:pt idx="50">
                  <c:v>3.5355613362750322</c:v>
                </c:pt>
                <c:pt idx="51">
                  <c:v>3.5599089978446514</c:v>
                </c:pt>
                <c:pt idx="52">
                  <c:v>3.5828037508144837</c:v>
                </c:pt>
                <c:pt idx="53">
                  <c:v>3.6043245578207892</c:v>
                </c:pt>
                <c:pt idx="54">
                  <c:v>3.6245486084817147</c:v>
                </c:pt>
                <c:pt idx="55">
                  <c:v>3.6435508751030605</c:v>
                </c:pt>
                <c:pt idx="56">
                  <c:v>3.6614037608007539</c:v>
                </c:pt>
                <c:pt idx="57">
                  <c:v>3.6781768326336048</c:v>
                </c:pt>
                <c:pt idx="58">
                  <c:v>3.6939366311865838</c:v>
                </c:pt>
                <c:pt idx="59">
                  <c:v>3.7087465474758163</c:v>
                </c:pt>
                <c:pt idx="60">
                  <c:v>3.7226667579493191</c:v>
                </c:pt>
                <c:pt idx="61">
                  <c:v>3.7357542086211843</c:v>
                </c:pt>
                <c:pt idx="62">
                  <c:v>3.7480626398995702</c:v>
                </c:pt>
                <c:pt idx="63">
                  <c:v>3.7596426443619637</c:v>
                </c:pt>
                <c:pt idx="64">
                  <c:v>3.7705417505214172</c:v>
                </c:pt>
                <c:pt idx="65">
                  <c:v>3.7808045264569952</c:v>
                </c:pt>
                <c:pt idx="66">
                  <c:v>3.7904726980069108</c:v>
                </c:pt>
                <c:pt idx="67">
                  <c:v>3.7995852770128149</c:v>
                </c:pt>
                <c:pt idx="68">
                  <c:v>3.8081786958378316</c:v>
                </c:pt>
                <c:pt idx="69">
                  <c:v>3.8162869450472332</c:v>
                </c:pt>
                <c:pt idx="70">
                  <c:v>3.8239417117333621</c:v>
                </c:pt>
                <c:pt idx="71">
                  <c:v>3.831172516484739</c:v>
                </c:pt>
                <c:pt idx="72">
                  <c:v>3.8380068474456799</c:v>
                </c:pt>
                <c:pt idx="73">
                  <c:v>3.8968489565241957</c:v>
                </c:pt>
                <c:pt idx="74">
                  <c:v>3.929543328922517</c:v>
                </c:pt>
                <c:pt idx="75">
                  <c:v>3.9491820948058294</c:v>
                </c:pt>
                <c:pt idx="76">
                  <c:v>3.9617642227544181</c:v>
                </c:pt>
                <c:pt idx="77">
                  <c:v>3.9702569571704434</c:v>
                </c:pt>
                <c:pt idx="78">
                  <c:v>3.9762371536765864</c:v>
                </c:pt>
                <c:pt idx="79">
                  <c:v>3.9805967153549124</c:v>
                </c:pt>
                <c:pt idx="80">
                  <c:v>3.9838676218614841</c:v>
                </c:pt>
                <c:pt idx="81">
                  <c:v>3.9863817986879959</c:v>
                </c:pt>
                <c:pt idx="82">
                  <c:v>3.988354460550092</c:v>
                </c:pt>
                <c:pt idx="83">
                  <c:v>3.9899298295480481</c:v>
                </c:pt>
                <c:pt idx="84">
                  <c:v>3.9912073527673373</c:v>
                </c:pt>
                <c:pt idx="85">
                  <c:v>3.9922573321684158</c:v>
                </c:pt>
                <c:pt idx="86">
                  <c:v>3.9931305655724847</c:v>
                </c:pt>
                <c:pt idx="87">
                  <c:v>3.9938644751564798</c:v>
                </c:pt>
                <c:pt idx="88">
                  <c:v>3.9944871086079932</c:v>
                </c:pt>
                <c:pt idx="89">
                  <c:v>3.9950198144076792</c:v>
                </c:pt>
                <c:pt idx="90">
                  <c:v>3.9954790692669371</c:v>
                </c:pt>
                <c:pt idx="91">
                  <c:v>3.9958777507239756</c:v>
                </c:pt>
                <c:pt idx="92">
                  <c:v>3.996226038973778</c:v>
                </c:pt>
                <c:pt idx="93">
                  <c:v>3.9965320661893418</c:v>
                </c:pt>
                <c:pt idx="94">
                  <c:v>3.9968023908697035</c:v>
                </c:pt>
                <c:pt idx="95">
                  <c:v>3.9970423490055187</c:v>
                </c:pt>
                <c:pt idx="96">
                  <c:v>3.9972563172518192</c:v>
                </c:pt>
                <c:pt idx="97">
                  <c:v>3.9980439551585913</c:v>
                </c:pt>
                <c:pt idx="98">
                  <c:v>3.9985355977493651</c:v>
                </c:pt>
                <c:pt idx="99">
                  <c:v>3.9988628403273161</c:v>
                </c:pt>
                <c:pt idx="100">
                  <c:v>3.9990915452220164</c:v>
                </c:pt>
                <c:pt idx="101">
                  <c:v>3.9992576267701958</c:v>
                </c:pt>
                <c:pt idx="102">
                  <c:v>3.9993820168935068</c:v>
                </c:pt>
                <c:pt idx="103">
                  <c:v>3.99947758251772</c:v>
                </c:pt>
                <c:pt idx="104">
                  <c:v>3.9995525853993739</c:v>
                </c:pt>
                <c:pt idx="105">
                  <c:v>3.999612526809146</c:v>
                </c:pt>
                <c:pt idx="106">
                  <c:v>3.9996611845002787</c:v>
                </c:pt>
                <c:pt idx="107">
                  <c:v>3.9997012221887034</c:v>
                </c:pt>
                <c:pt idx="108">
                  <c:v>3.9997345616743667</c:v>
                </c:pt>
                <c:pt idx="109">
                  <c:v>3.9997626176436039</c:v>
                </c:pt>
                <c:pt idx="110">
                  <c:v>3.9997864501466269</c:v>
                </c:pt>
                <c:pt idx="111">
                  <c:v>3.9998068661550579</c:v>
                </c:pt>
                <c:pt idx="112">
                  <c:v>3.9998244887435348</c:v>
                </c:pt>
                <c:pt idx="113">
                  <c:v>3.9998398051745689</c:v>
                </c:pt>
                <c:pt idx="114">
                  <c:v>3.9998532009305223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20-48E6-B4E7-8090EC0B1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464416"/>
        <c:axId val="1535455776"/>
      </c:scatterChart>
      <c:valAx>
        <c:axId val="1535464416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55776"/>
        <c:crosses val="autoZero"/>
        <c:crossBetween val="midCat"/>
      </c:valAx>
      <c:valAx>
        <c:axId val="153545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64416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年齢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m=18, k=min1(0.3358)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'Sheet2_3 (18_m1)'!$D$3:$D$117</c:f>
              <c:numCache>
                <c:formatCode>0.00_);[Red]\(0.00\)</c:formatCode>
                <c:ptCount val="115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1.5833333333333335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1.8333333333333335</c:v>
                </c:pt>
                <c:pt idx="23">
                  <c:v>1.9166666666666665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35</c:v>
                </c:pt>
                <c:pt idx="98">
                  <c:v>40</c:v>
                </c:pt>
                <c:pt idx="99">
                  <c:v>45</c:v>
                </c:pt>
                <c:pt idx="100">
                  <c:v>50</c:v>
                </c:pt>
                <c:pt idx="101">
                  <c:v>55</c:v>
                </c:pt>
                <c:pt idx="102">
                  <c:v>60</c:v>
                </c:pt>
                <c:pt idx="103">
                  <c:v>65</c:v>
                </c:pt>
                <c:pt idx="104">
                  <c:v>70</c:v>
                </c:pt>
                <c:pt idx="105">
                  <c:v>75</c:v>
                </c:pt>
                <c:pt idx="106">
                  <c:v>80</c:v>
                </c:pt>
                <c:pt idx="107">
                  <c:v>85</c:v>
                </c:pt>
                <c:pt idx="108">
                  <c:v>90</c:v>
                </c:pt>
                <c:pt idx="109">
                  <c:v>95</c:v>
                </c:pt>
                <c:pt idx="110">
                  <c:v>100</c:v>
                </c:pt>
                <c:pt idx="111">
                  <c:v>105</c:v>
                </c:pt>
                <c:pt idx="112">
                  <c:v>110</c:v>
                </c:pt>
                <c:pt idx="113">
                  <c:v>115</c:v>
                </c:pt>
                <c:pt idx="114">
                  <c:v>120</c:v>
                </c:pt>
              </c:numCache>
            </c:numRef>
          </c:xVal>
          <c:yVal>
            <c:numRef>
              <c:f>'Sheet2_3 (18_m1)'!$F$3:$F$117</c:f>
              <c:numCache>
                <c:formatCode>0.000_ </c:formatCode>
                <c:ptCount val="115"/>
                <c:pt idx="0">
                  <c:v>0</c:v>
                </c:pt>
                <c:pt idx="1">
                  <c:v>8.7839086540036249E-2</c:v>
                </c:pt>
                <c:pt idx="2">
                  <c:v>0.17567704136861906</c:v>
                </c:pt>
                <c:pt idx="3">
                  <c:v>0.26351384376359022</c:v>
                </c:pt>
                <c:pt idx="4">
                  <c:v>0.35134947252904425</c:v>
                </c:pt>
                <c:pt idx="5">
                  <c:v>0.43918390598232548</c:v>
                </c:pt>
                <c:pt idx="6">
                  <c:v>0.52701712194066275</c:v>
                </c:pt>
                <c:pt idx="7">
                  <c:v>0.61484909770732799</c:v>
                </c:pt>
                <c:pt idx="8">
                  <c:v>0.70267981005738278</c:v>
                </c:pt>
                <c:pt idx="9">
                  <c:v>0.79050923522291328</c:v>
                </c:pt>
                <c:pt idx="10">
                  <c:v>0.87833734887786719</c:v>
                </c:pt>
                <c:pt idx="11">
                  <c:v>0.96616412612231173</c:v>
                </c:pt>
                <c:pt idx="12">
                  <c:v>1.0539895414662297</c:v>
                </c:pt>
                <c:pt idx="13">
                  <c:v>1.1418135688127649</c:v>
                </c:pt>
                <c:pt idx="14">
                  <c:v>1.2296361814409167</c:v>
                </c:pt>
                <c:pt idx="15">
                  <c:v>1.3174573519876382</c:v>
                </c:pt>
                <c:pt idx="16">
                  <c:v>1.4052770524293905</c:v>
                </c:pt>
                <c:pt idx="17">
                  <c:v>1.4930952540630074</c:v>
                </c:pt>
                <c:pt idx="18">
                  <c:v>1.5809119274859746</c:v>
                </c:pt>
                <c:pt idx="19">
                  <c:v>1.6687270425760303</c:v>
                </c:pt>
                <c:pt idx="20">
                  <c:v>1.7565405684700366</c:v>
                </c:pt>
                <c:pt idx="21">
                  <c:v>1.8443524735421626</c:v>
                </c:pt>
                <c:pt idx="22">
                  <c:v>1.9321627253813354</c:v>
                </c:pt>
                <c:pt idx="23">
                  <c:v>2.0199712907678702</c:v>
                </c:pt>
                <c:pt idx="24">
                  <c:v>2.1077781356493084</c:v>
                </c:pt>
                <c:pt idx="25">
                  <c:v>2.1955832251154366</c:v>
                </c:pt>
                <c:pt idx="26">
                  <c:v>2.2833865233724175</c:v>
                </c:pt>
                <c:pt idx="27">
                  <c:v>2.3711879937159956</c:v>
                </c:pt>
                <c:pt idx="28">
                  <c:v>2.4589875985037892</c:v>
                </c:pt>
                <c:pt idx="29">
                  <c:v>2.5467852991265723</c:v>
                </c:pt>
                <c:pt idx="30">
                  <c:v>2.6345810559785647</c:v>
                </c:pt>
                <c:pt idx="31">
                  <c:v>2.7223748284266307</c:v>
                </c:pt>
                <c:pt idx="32">
                  <c:v>2.8101665747783855</c:v>
                </c:pt>
                <c:pt idx="33">
                  <c:v>2.8979562522491431</c:v>
                </c:pt>
                <c:pt idx="34">
                  <c:v>2.9857438169276769</c:v>
                </c:pt>
                <c:pt idx="35">
                  <c:v>3.0735292237407066</c:v>
                </c:pt>
                <c:pt idx="36">
                  <c:v>3.1613124264161279</c:v>
                </c:pt>
                <c:pt idx="37">
                  <c:v>3.2490933774448187</c:v>
                </c:pt>
                <c:pt idx="38">
                  <c:v>3.3368720280411157</c:v>
                </c:pt>
                <c:pt idx="39">
                  <c:v>3.4246483281017568</c:v>
                </c:pt>
                <c:pt idx="40">
                  <c:v>3.5124222261633076</c:v>
                </c:pt>
                <c:pt idx="41">
                  <c:v>3.6001936693579957</c:v>
                </c:pt>
                <c:pt idx="42">
                  <c:v>3.6879626033678843</c:v>
                </c:pt>
                <c:pt idx="43">
                  <c:v>3.7757289723772836</c:v>
                </c:pt>
                <c:pt idx="44">
                  <c:v>3.8634927190233572</c:v>
                </c:pt>
                <c:pt idx="45">
                  <c:v>3.9512537843448587</c:v>
                </c:pt>
                <c:pt idx="46">
                  <c:v>4.0390121077288548</c:v>
                </c:pt>
                <c:pt idx="47">
                  <c:v>4.1267676268554077</c:v>
                </c:pt>
                <c:pt idx="48">
                  <c:v>4.2145202776401121</c:v>
                </c:pt>
                <c:pt idx="49">
                  <c:v>4.3022699941743561</c:v>
                </c:pt>
                <c:pt idx="50">
                  <c:v>4.390016708663282</c:v>
                </c:pt>
                <c:pt idx="51">
                  <c:v>4.4777603513612085</c:v>
                </c:pt>
                <c:pt idx="52">
                  <c:v>4.5655008505046126</c:v>
                </c:pt>
                <c:pt idx="53">
                  <c:v>4.6532381322423149</c:v>
                </c:pt>
                <c:pt idx="54">
                  <c:v>4.7409721205629278</c:v>
                </c:pt>
                <c:pt idx="55">
                  <c:v>4.8287027372193609</c:v>
                </c:pt>
                <c:pt idx="56">
                  <c:v>4.9164299016502717</c:v>
                </c:pt>
                <c:pt idx="57">
                  <c:v>5.0041535308982787</c:v>
                </c:pt>
                <c:pt idx="58">
                  <c:v>5.0918735395248724</c:v>
                </c:pt>
                <c:pt idx="59">
                  <c:v>5.1795898395217801</c:v>
                </c:pt>
                <c:pt idx="60">
                  <c:v>5.2673023402186558</c:v>
                </c:pt>
                <c:pt idx="61">
                  <c:v>5.3550109481869601</c:v>
                </c:pt>
                <c:pt idx="62">
                  <c:v>5.4427155671397749</c:v>
                </c:pt>
                <c:pt idx="63">
                  <c:v>5.5304160978274037</c:v>
                </c:pt>
                <c:pt idx="64">
                  <c:v>5.6181124379285698</c:v>
                </c:pt>
                <c:pt idx="65">
                  <c:v>5.7058044819369691</c:v>
                </c:pt>
                <c:pt idx="66">
                  <c:v>5.7934921210429451</c:v>
                </c:pt>
                <c:pt idx="67">
                  <c:v>5.8811752430101052</c:v>
                </c:pt>
                <c:pt idx="68">
                  <c:v>5.9688537320465826</c:v>
                </c:pt>
                <c:pt idx="69">
                  <c:v>6.0565274686706463</c:v>
                </c:pt>
                <c:pt idx="70">
                  <c:v>6.1441963295705104</c:v>
                </c:pt>
                <c:pt idx="71">
                  <c:v>6.2318601874579134</c:v>
                </c:pt>
                <c:pt idx="72">
                  <c:v>6.3195189109152086</c:v>
                </c:pt>
                <c:pt idx="73">
                  <c:v>7.3709688749632036</c:v>
                </c:pt>
                <c:pt idx="74">
                  <c:v>8.4213548951144652</c:v>
                </c:pt>
                <c:pt idx="75">
                  <c:v>9.4702238222406372</c:v>
                </c:pt>
                <c:pt idx="76">
                  <c:v>10.516860644176653</c:v>
                </c:pt>
                <c:pt idx="77">
                  <c:v>11.560091451686809</c:v>
                </c:pt>
                <c:pt idx="78">
                  <c:v>12.597899955270904</c:v>
                </c:pt>
                <c:pt idx="79">
                  <c:v>13.626644931827514</c:v>
                </c:pt>
                <c:pt idx="80">
                  <c:v>14.639396925489685</c:v>
                </c:pt>
                <c:pt idx="81">
                  <c:v>15.622355266795967</c:v>
                </c:pt>
                <c:pt idx="82">
                  <c:v>16.547678029089582</c:v>
                </c:pt>
                <c:pt idx="83">
                  <c:v>17.363660827941352</c:v>
                </c:pt>
                <c:pt idx="84">
                  <c:v>18</c:v>
                </c:pt>
                <c:pt idx="85">
                  <c:v>18.418717777020433</c:v>
                </c:pt>
                <c:pt idx="86">
                  <c:v>18.657791927247739</c:v>
                </c:pt>
                <c:pt idx="87">
                  <c:v>18.787526114033206</c:v>
                </c:pt>
                <c:pt idx="88">
                  <c:v>18.859624721806</c:v>
                </c:pt>
                <c:pt idx="89">
                  <c:v>18.90192967722291</c:v>
                </c:pt>
                <c:pt idx="90">
                  <c:v>18.928241649745381</c:v>
                </c:pt>
                <c:pt idx="91">
                  <c:v>18.945490095240366</c:v>
                </c:pt>
                <c:pt idx="92">
                  <c:v>18.957316236809287</c:v>
                </c:pt>
                <c:pt idx="93">
                  <c:v>18.965736363952352</c:v>
                </c:pt>
                <c:pt idx="94">
                  <c:v>18.971924385905258</c:v>
                </c:pt>
                <c:pt idx="95">
                  <c:v>18.976595314833077</c:v>
                </c:pt>
                <c:pt idx="96">
                  <c:v>18.98020229986416</c:v>
                </c:pt>
                <c:pt idx="97">
                  <c:v>18.989957675810579</c:v>
                </c:pt>
                <c:pt idx="98">
                  <c:v>18.993959906686442</c:v>
                </c:pt>
                <c:pt idx="99">
                  <c:v>18.995975186456445</c:v>
                </c:pt>
                <c:pt idx="100">
                  <c:v>18.997128700135786</c:v>
                </c:pt>
                <c:pt idx="101">
                  <c:v>18.997849496727426</c:v>
                </c:pt>
                <c:pt idx="102">
                  <c:v>18.998329597678236</c:v>
                </c:pt>
                <c:pt idx="103">
                  <c:v>18.99866529031771</c:v>
                </c:pt>
                <c:pt idx="104">
                  <c:v>18.998909145753487</c:v>
                </c:pt>
                <c:pt idx="105">
                  <c:v>18.99909183100219</c:v>
                </c:pt>
                <c:pt idx="106">
                  <c:v>18.999232209303901</c:v>
                </c:pt>
                <c:pt idx="107">
                  <c:v>18.999342398454278</c:v>
                </c:pt>
                <c:pt idx="108">
                  <c:v>18.999430470356739</c:v>
                </c:pt>
                <c:pt idx="109">
                  <c:v>18.999501969658152</c:v>
                </c:pt>
                <c:pt idx="110">
                  <c:v>18.999560806841011</c:v>
                </c:pt>
                <c:pt idx="111">
                  <c:v>18.999609803754385</c:v>
                </c:pt>
                <c:pt idx="112">
                  <c:v>18.999651037962295</c:v>
                </c:pt>
                <c:pt idx="113">
                  <c:v>18.99968606642673</c:v>
                </c:pt>
                <c:pt idx="114">
                  <c:v>18.999716074529342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3F-44A3-BCC2-15E8DE48A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464416"/>
        <c:axId val="1535455776"/>
      </c:scatterChart>
      <c:valAx>
        <c:axId val="1535464416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55776"/>
        <c:crosses val="autoZero"/>
        <c:crossBetween val="midCat"/>
      </c:valAx>
      <c:valAx>
        <c:axId val="153545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64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年齢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m=18, k=min1(0.3358)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'Sheet2_3 (18_m1)'!$D$3:$D$117</c:f>
              <c:numCache>
                <c:formatCode>0.00_);[Red]\(0.00\)</c:formatCode>
                <c:ptCount val="115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1.5833333333333335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1.8333333333333335</c:v>
                </c:pt>
                <c:pt idx="23">
                  <c:v>1.9166666666666665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35</c:v>
                </c:pt>
                <c:pt idx="98">
                  <c:v>40</c:v>
                </c:pt>
                <c:pt idx="99">
                  <c:v>45</c:v>
                </c:pt>
                <c:pt idx="100">
                  <c:v>50</c:v>
                </c:pt>
                <c:pt idx="101">
                  <c:v>55</c:v>
                </c:pt>
                <c:pt idx="102">
                  <c:v>60</c:v>
                </c:pt>
                <c:pt idx="103">
                  <c:v>65</c:v>
                </c:pt>
                <c:pt idx="104">
                  <c:v>70</c:v>
                </c:pt>
                <c:pt idx="105">
                  <c:v>75</c:v>
                </c:pt>
                <c:pt idx="106">
                  <c:v>80</c:v>
                </c:pt>
                <c:pt idx="107">
                  <c:v>85</c:v>
                </c:pt>
                <c:pt idx="108">
                  <c:v>90</c:v>
                </c:pt>
                <c:pt idx="109">
                  <c:v>95</c:v>
                </c:pt>
                <c:pt idx="110">
                  <c:v>100</c:v>
                </c:pt>
                <c:pt idx="111">
                  <c:v>105</c:v>
                </c:pt>
                <c:pt idx="112">
                  <c:v>110</c:v>
                </c:pt>
                <c:pt idx="113">
                  <c:v>115</c:v>
                </c:pt>
                <c:pt idx="114">
                  <c:v>120</c:v>
                </c:pt>
              </c:numCache>
            </c:numRef>
          </c:xVal>
          <c:yVal>
            <c:numRef>
              <c:f>'Sheet2_3 (18_m1)'!$F$3:$F$117</c:f>
              <c:numCache>
                <c:formatCode>0.000_ </c:formatCode>
                <c:ptCount val="115"/>
                <c:pt idx="0">
                  <c:v>0</c:v>
                </c:pt>
                <c:pt idx="1">
                  <c:v>8.7839086540036249E-2</c:v>
                </c:pt>
                <c:pt idx="2">
                  <c:v>0.17567704136861906</c:v>
                </c:pt>
                <c:pt idx="3">
                  <c:v>0.26351384376359022</c:v>
                </c:pt>
                <c:pt idx="4">
                  <c:v>0.35134947252904425</c:v>
                </c:pt>
                <c:pt idx="5">
                  <c:v>0.43918390598232548</c:v>
                </c:pt>
                <c:pt idx="6">
                  <c:v>0.52701712194066275</c:v>
                </c:pt>
                <c:pt idx="7">
                  <c:v>0.61484909770732799</c:v>
                </c:pt>
                <c:pt idx="8">
                  <c:v>0.70267981005738278</c:v>
                </c:pt>
                <c:pt idx="9">
                  <c:v>0.79050923522291328</c:v>
                </c:pt>
                <c:pt idx="10">
                  <c:v>0.87833734887786719</c:v>
                </c:pt>
                <c:pt idx="11">
                  <c:v>0.96616412612231173</c:v>
                </c:pt>
                <c:pt idx="12">
                  <c:v>1.0539895414662297</c:v>
                </c:pt>
                <c:pt idx="13">
                  <c:v>1.1418135688127649</c:v>
                </c:pt>
                <c:pt idx="14">
                  <c:v>1.2296361814409167</c:v>
                </c:pt>
                <c:pt idx="15">
                  <c:v>1.3174573519876382</c:v>
                </c:pt>
                <c:pt idx="16">
                  <c:v>1.4052770524293905</c:v>
                </c:pt>
                <c:pt idx="17">
                  <c:v>1.4930952540630074</c:v>
                </c:pt>
                <c:pt idx="18">
                  <c:v>1.5809119274859746</c:v>
                </c:pt>
                <c:pt idx="19">
                  <c:v>1.6687270425760303</c:v>
                </c:pt>
                <c:pt idx="20">
                  <c:v>1.7565405684700366</c:v>
                </c:pt>
                <c:pt idx="21">
                  <c:v>1.8443524735421626</c:v>
                </c:pt>
                <c:pt idx="22">
                  <c:v>1.9321627253813354</c:v>
                </c:pt>
                <c:pt idx="23">
                  <c:v>2.0199712907678702</c:v>
                </c:pt>
                <c:pt idx="24">
                  <c:v>2.1077781356493084</c:v>
                </c:pt>
                <c:pt idx="25">
                  <c:v>2.1955832251154366</c:v>
                </c:pt>
                <c:pt idx="26">
                  <c:v>2.2833865233724175</c:v>
                </c:pt>
                <c:pt idx="27">
                  <c:v>2.3711879937159956</c:v>
                </c:pt>
                <c:pt idx="28">
                  <c:v>2.4589875985037892</c:v>
                </c:pt>
                <c:pt idx="29">
                  <c:v>2.5467852991265723</c:v>
                </c:pt>
                <c:pt idx="30">
                  <c:v>2.6345810559785647</c:v>
                </c:pt>
                <c:pt idx="31">
                  <c:v>2.7223748284266307</c:v>
                </c:pt>
                <c:pt idx="32">
                  <c:v>2.8101665747783855</c:v>
                </c:pt>
                <c:pt idx="33">
                  <c:v>2.8979562522491431</c:v>
                </c:pt>
                <c:pt idx="34">
                  <c:v>2.9857438169276769</c:v>
                </c:pt>
                <c:pt idx="35">
                  <c:v>3.0735292237407066</c:v>
                </c:pt>
                <c:pt idx="36">
                  <c:v>3.1613124264161279</c:v>
                </c:pt>
                <c:pt idx="37">
                  <c:v>3.2490933774448187</c:v>
                </c:pt>
                <c:pt idx="38">
                  <c:v>3.3368720280411157</c:v>
                </c:pt>
                <c:pt idx="39">
                  <c:v>3.4246483281017568</c:v>
                </c:pt>
                <c:pt idx="40">
                  <c:v>3.5124222261633076</c:v>
                </c:pt>
                <c:pt idx="41">
                  <c:v>3.6001936693579957</c:v>
                </c:pt>
                <c:pt idx="42">
                  <c:v>3.6879626033678843</c:v>
                </c:pt>
                <c:pt idx="43">
                  <c:v>3.7757289723772836</c:v>
                </c:pt>
                <c:pt idx="44">
                  <c:v>3.8634927190233572</c:v>
                </c:pt>
                <c:pt idx="45">
                  <c:v>3.9512537843448587</c:v>
                </c:pt>
                <c:pt idx="46">
                  <c:v>4.0390121077288548</c:v>
                </c:pt>
                <c:pt idx="47">
                  <c:v>4.1267676268554077</c:v>
                </c:pt>
                <c:pt idx="48">
                  <c:v>4.2145202776401121</c:v>
                </c:pt>
                <c:pt idx="49">
                  <c:v>4.3022699941743561</c:v>
                </c:pt>
                <c:pt idx="50">
                  <c:v>4.390016708663282</c:v>
                </c:pt>
                <c:pt idx="51">
                  <c:v>4.4777603513612085</c:v>
                </c:pt>
                <c:pt idx="52">
                  <c:v>4.5655008505046126</c:v>
                </c:pt>
                <c:pt idx="53">
                  <c:v>4.6532381322423149</c:v>
                </c:pt>
                <c:pt idx="54">
                  <c:v>4.7409721205629278</c:v>
                </c:pt>
                <c:pt idx="55">
                  <c:v>4.8287027372193609</c:v>
                </c:pt>
                <c:pt idx="56">
                  <c:v>4.9164299016502717</c:v>
                </c:pt>
                <c:pt idx="57">
                  <c:v>5.0041535308982787</c:v>
                </c:pt>
                <c:pt idx="58">
                  <c:v>5.0918735395248724</c:v>
                </c:pt>
                <c:pt idx="59">
                  <c:v>5.1795898395217801</c:v>
                </c:pt>
                <c:pt idx="60">
                  <c:v>5.2673023402186558</c:v>
                </c:pt>
                <c:pt idx="61">
                  <c:v>5.3550109481869601</c:v>
                </c:pt>
                <c:pt idx="62">
                  <c:v>5.4427155671397749</c:v>
                </c:pt>
                <c:pt idx="63">
                  <c:v>5.5304160978274037</c:v>
                </c:pt>
                <c:pt idx="64">
                  <c:v>5.6181124379285698</c:v>
                </c:pt>
                <c:pt idx="65">
                  <c:v>5.7058044819369691</c:v>
                </c:pt>
                <c:pt idx="66">
                  <c:v>5.7934921210429451</c:v>
                </c:pt>
                <c:pt idx="67">
                  <c:v>5.8811752430101052</c:v>
                </c:pt>
                <c:pt idx="68">
                  <c:v>5.9688537320465826</c:v>
                </c:pt>
                <c:pt idx="69">
                  <c:v>6.0565274686706463</c:v>
                </c:pt>
                <c:pt idx="70">
                  <c:v>6.1441963295705104</c:v>
                </c:pt>
                <c:pt idx="71">
                  <c:v>6.2318601874579134</c:v>
                </c:pt>
                <c:pt idx="72">
                  <c:v>6.3195189109152086</c:v>
                </c:pt>
                <c:pt idx="73">
                  <c:v>7.3709688749632036</c:v>
                </c:pt>
                <c:pt idx="74">
                  <c:v>8.4213548951144652</c:v>
                </c:pt>
                <c:pt idx="75">
                  <c:v>9.4702238222406372</c:v>
                </c:pt>
                <c:pt idx="76">
                  <c:v>10.516860644176653</c:v>
                </c:pt>
                <c:pt idx="77">
                  <c:v>11.560091451686809</c:v>
                </c:pt>
                <c:pt idx="78">
                  <c:v>12.597899955270904</c:v>
                </c:pt>
                <c:pt idx="79">
                  <c:v>13.626644931827514</c:v>
                </c:pt>
                <c:pt idx="80">
                  <c:v>14.639396925489685</c:v>
                </c:pt>
                <c:pt idx="81">
                  <c:v>15.622355266795967</c:v>
                </c:pt>
                <c:pt idx="82">
                  <c:v>16.547678029089582</c:v>
                </c:pt>
                <c:pt idx="83">
                  <c:v>17.363660827941352</c:v>
                </c:pt>
                <c:pt idx="84">
                  <c:v>18</c:v>
                </c:pt>
                <c:pt idx="85">
                  <c:v>18.418717777020433</c:v>
                </c:pt>
                <c:pt idx="86">
                  <c:v>18.657791927247739</c:v>
                </c:pt>
                <c:pt idx="87">
                  <c:v>18.787526114033206</c:v>
                </c:pt>
                <c:pt idx="88">
                  <c:v>18.859624721806</c:v>
                </c:pt>
                <c:pt idx="89">
                  <c:v>18.90192967722291</c:v>
                </c:pt>
                <c:pt idx="90">
                  <c:v>18.928241649745381</c:v>
                </c:pt>
                <c:pt idx="91">
                  <c:v>18.945490095240366</c:v>
                </c:pt>
                <c:pt idx="92">
                  <c:v>18.957316236809287</c:v>
                </c:pt>
                <c:pt idx="93">
                  <c:v>18.965736363952352</c:v>
                </c:pt>
                <c:pt idx="94">
                  <c:v>18.971924385905258</c:v>
                </c:pt>
                <c:pt idx="95">
                  <c:v>18.976595314833077</c:v>
                </c:pt>
                <c:pt idx="96">
                  <c:v>18.98020229986416</c:v>
                </c:pt>
                <c:pt idx="97">
                  <c:v>18.989957675810579</c:v>
                </c:pt>
                <c:pt idx="98">
                  <c:v>18.993959906686442</c:v>
                </c:pt>
                <c:pt idx="99">
                  <c:v>18.995975186456445</c:v>
                </c:pt>
                <c:pt idx="100">
                  <c:v>18.997128700135786</c:v>
                </c:pt>
                <c:pt idx="101">
                  <c:v>18.997849496727426</c:v>
                </c:pt>
                <c:pt idx="102">
                  <c:v>18.998329597678236</c:v>
                </c:pt>
                <c:pt idx="103">
                  <c:v>18.99866529031771</c:v>
                </c:pt>
                <c:pt idx="104">
                  <c:v>18.998909145753487</c:v>
                </c:pt>
                <c:pt idx="105">
                  <c:v>18.99909183100219</c:v>
                </c:pt>
                <c:pt idx="106">
                  <c:v>18.999232209303901</c:v>
                </c:pt>
                <c:pt idx="107">
                  <c:v>18.999342398454278</c:v>
                </c:pt>
                <c:pt idx="108">
                  <c:v>18.999430470356739</c:v>
                </c:pt>
                <c:pt idx="109">
                  <c:v>18.999501969658152</c:v>
                </c:pt>
                <c:pt idx="110">
                  <c:v>18.999560806841011</c:v>
                </c:pt>
                <c:pt idx="111">
                  <c:v>18.999609803754385</c:v>
                </c:pt>
                <c:pt idx="112">
                  <c:v>18.999651037962295</c:v>
                </c:pt>
                <c:pt idx="113">
                  <c:v>18.99968606642673</c:v>
                </c:pt>
                <c:pt idx="114">
                  <c:v>18.999716074529342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04-443C-8610-94A77C886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464416"/>
        <c:axId val="1535455776"/>
      </c:scatterChart>
      <c:valAx>
        <c:axId val="1535464416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55776"/>
        <c:crosses val="autoZero"/>
        <c:crossBetween val="midCat"/>
      </c:valAx>
      <c:valAx>
        <c:axId val="153545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64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年齢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m=18, k=min1(0.3358)</c:v>
          </c:tx>
          <c:marker>
            <c:symbol val="none"/>
          </c:marker>
          <c:xVal>
            <c:numRef>
              <c:f>'Sheet2_3 (18_m1)'!$D$3:$D$117</c:f>
              <c:numCache>
                <c:formatCode>0.00_);[Red]\(0.00\)</c:formatCode>
                <c:ptCount val="115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1.5833333333333335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1.8333333333333335</c:v>
                </c:pt>
                <c:pt idx="23">
                  <c:v>1.9166666666666665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35</c:v>
                </c:pt>
                <c:pt idx="98">
                  <c:v>40</c:v>
                </c:pt>
                <c:pt idx="99">
                  <c:v>45</c:v>
                </c:pt>
                <c:pt idx="100">
                  <c:v>50</c:v>
                </c:pt>
                <c:pt idx="101">
                  <c:v>55</c:v>
                </c:pt>
                <c:pt idx="102">
                  <c:v>60</c:v>
                </c:pt>
                <c:pt idx="103">
                  <c:v>65</c:v>
                </c:pt>
                <c:pt idx="104">
                  <c:v>70</c:v>
                </c:pt>
                <c:pt idx="105">
                  <c:v>75</c:v>
                </c:pt>
                <c:pt idx="106">
                  <c:v>80</c:v>
                </c:pt>
                <c:pt idx="107">
                  <c:v>85</c:v>
                </c:pt>
                <c:pt idx="108">
                  <c:v>90</c:v>
                </c:pt>
                <c:pt idx="109">
                  <c:v>95</c:v>
                </c:pt>
                <c:pt idx="110">
                  <c:v>100</c:v>
                </c:pt>
                <c:pt idx="111">
                  <c:v>105</c:v>
                </c:pt>
                <c:pt idx="112">
                  <c:v>110</c:v>
                </c:pt>
                <c:pt idx="113">
                  <c:v>115</c:v>
                </c:pt>
                <c:pt idx="114">
                  <c:v>120</c:v>
                </c:pt>
              </c:numCache>
            </c:numRef>
          </c:xVal>
          <c:yVal>
            <c:numRef>
              <c:f>'Sheet2_3 (18_m1)'!$F$3:$F$117</c:f>
              <c:numCache>
                <c:formatCode>0.000_ </c:formatCode>
                <c:ptCount val="115"/>
                <c:pt idx="0">
                  <c:v>0</c:v>
                </c:pt>
                <c:pt idx="1">
                  <c:v>8.7839086540036249E-2</c:v>
                </c:pt>
                <c:pt idx="2">
                  <c:v>0.17567704136861906</c:v>
                </c:pt>
                <c:pt idx="3">
                  <c:v>0.26351384376359022</c:v>
                </c:pt>
                <c:pt idx="4">
                  <c:v>0.35134947252904425</c:v>
                </c:pt>
                <c:pt idx="5">
                  <c:v>0.43918390598232548</c:v>
                </c:pt>
                <c:pt idx="6">
                  <c:v>0.52701712194066275</c:v>
                </c:pt>
                <c:pt idx="7">
                  <c:v>0.61484909770732799</c:v>
                </c:pt>
                <c:pt idx="8">
                  <c:v>0.70267981005738278</c:v>
                </c:pt>
                <c:pt idx="9">
                  <c:v>0.79050923522291328</c:v>
                </c:pt>
                <c:pt idx="10">
                  <c:v>0.87833734887786719</c:v>
                </c:pt>
                <c:pt idx="11">
                  <c:v>0.96616412612231173</c:v>
                </c:pt>
                <c:pt idx="12">
                  <c:v>1.0539895414662297</c:v>
                </c:pt>
                <c:pt idx="13">
                  <c:v>1.1418135688127649</c:v>
                </c:pt>
                <c:pt idx="14">
                  <c:v>1.2296361814409167</c:v>
                </c:pt>
                <c:pt idx="15">
                  <c:v>1.3174573519876382</c:v>
                </c:pt>
                <c:pt idx="16">
                  <c:v>1.4052770524293905</c:v>
                </c:pt>
                <c:pt idx="17">
                  <c:v>1.4930952540630074</c:v>
                </c:pt>
                <c:pt idx="18">
                  <c:v>1.5809119274859746</c:v>
                </c:pt>
                <c:pt idx="19">
                  <c:v>1.6687270425760303</c:v>
                </c:pt>
                <c:pt idx="20">
                  <c:v>1.7565405684700366</c:v>
                </c:pt>
                <c:pt idx="21">
                  <c:v>1.8443524735421626</c:v>
                </c:pt>
                <c:pt idx="22">
                  <c:v>1.9321627253813354</c:v>
                </c:pt>
                <c:pt idx="23">
                  <c:v>2.0199712907678702</c:v>
                </c:pt>
                <c:pt idx="24">
                  <c:v>2.1077781356493084</c:v>
                </c:pt>
                <c:pt idx="25">
                  <c:v>2.1955832251154366</c:v>
                </c:pt>
                <c:pt idx="26">
                  <c:v>2.2833865233724175</c:v>
                </c:pt>
                <c:pt idx="27">
                  <c:v>2.3711879937159956</c:v>
                </c:pt>
                <c:pt idx="28">
                  <c:v>2.4589875985037892</c:v>
                </c:pt>
                <c:pt idx="29">
                  <c:v>2.5467852991265723</c:v>
                </c:pt>
                <c:pt idx="30">
                  <c:v>2.6345810559785647</c:v>
                </c:pt>
                <c:pt idx="31">
                  <c:v>2.7223748284266307</c:v>
                </c:pt>
                <c:pt idx="32">
                  <c:v>2.8101665747783855</c:v>
                </c:pt>
                <c:pt idx="33">
                  <c:v>2.8979562522491431</c:v>
                </c:pt>
                <c:pt idx="34">
                  <c:v>2.9857438169276769</c:v>
                </c:pt>
                <c:pt idx="35">
                  <c:v>3.0735292237407066</c:v>
                </c:pt>
                <c:pt idx="36">
                  <c:v>3.1613124264161279</c:v>
                </c:pt>
                <c:pt idx="37">
                  <c:v>3.2490933774448187</c:v>
                </c:pt>
                <c:pt idx="38">
                  <c:v>3.3368720280411157</c:v>
                </c:pt>
                <c:pt idx="39">
                  <c:v>3.4246483281017568</c:v>
                </c:pt>
                <c:pt idx="40">
                  <c:v>3.5124222261633076</c:v>
                </c:pt>
                <c:pt idx="41">
                  <c:v>3.6001936693579957</c:v>
                </c:pt>
                <c:pt idx="42">
                  <c:v>3.6879626033678843</c:v>
                </c:pt>
                <c:pt idx="43">
                  <c:v>3.7757289723772836</c:v>
                </c:pt>
                <c:pt idx="44">
                  <c:v>3.8634927190233572</c:v>
                </c:pt>
                <c:pt idx="45">
                  <c:v>3.9512537843448587</c:v>
                </c:pt>
                <c:pt idx="46">
                  <c:v>4.0390121077288548</c:v>
                </c:pt>
                <c:pt idx="47">
                  <c:v>4.1267676268554077</c:v>
                </c:pt>
                <c:pt idx="48">
                  <c:v>4.2145202776401121</c:v>
                </c:pt>
                <c:pt idx="49">
                  <c:v>4.3022699941743561</c:v>
                </c:pt>
                <c:pt idx="50">
                  <c:v>4.390016708663282</c:v>
                </c:pt>
                <c:pt idx="51">
                  <c:v>4.4777603513612085</c:v>
                </c:pt>
                <c:pt idx="52">
                  <c:v>4.5655008505046126</c:v>
                </c:pt>
                <c:pt idx="53">
                  <c:v>4.6532381322423149</c:v>
                </c:pt>
                <c:pt idx="54">
                  <c:v>4.7409721205629278</c:v>
                </c:pt>
                <c:pt idx="55">
                  <c:v>4.8287027372193609</c:v>
                </c:pt>
                <c:pt idx="56">
                  <c:v>4.9164299016502717</c:v>
                </c:pt>
                <c:pt idx="57">
                  <c:v>5.0041535308982787</c:v>
                </c:pt>
                <c:pt idx="58">
                  <c:v>5.0918735395248724</c:v>
                </c:pt>
                <c:pt idx="59">
                  <c:v>5.1795898395217801</c:v>
                </c:pt>
                <c:pt idx="60">
                  <c:v>5.2673023402186558</c:v>
                </c:pt>
                <c:pt idx="61">
                  <c:v>5.3550109481869601</c:v>
                </c:pt>
                <c:pt idx="62">
                  <c:v>5.4427155671397749</c:v>
                </c:pt>
                <c:pt idx="63">
                  <c:v>5.5304160978274037</c:v>
                </c:pt>
                <c:pt idx="64">
                  <c:v>5.6181124379285698</c:v>
                </c:pt>
                <c:pt idx="65">
                  <c:v>5.7058044819369691</c:v>
                </c:pt>
                <c:pt idx="66">
                  <c:v>5.7934921210429451</c:v>
                </c:pt>
                <c:pt idx="67">
                  <c:v>5.8811752430101052</c:v>
                </c:pt>
                <c:pt idx="68">
                  <c:v>5.9688537320465826</c:v>
                </c:pt>
                <c:pt idx="69">
                  <c:v>6.0565274686706463</c:v>
                </c:pt>
                <c:pt idx="70">
                  <c:v>6.1441963295705104</c:v>
                </c:pt>
                <c:pt idx="71">
                  <c:v>6.2318601874579134</c:v>
                </c:pt>
                <c:pt idx="72">
                  <c:v>6.3195189109152086</c:v>
                </c:pt>
                <c:pt idx="73">
                  <c:v>7.3709688749632036</c:v>
                </c:pt>
                <c:pt idx="74">
                  <c:v>8.4213548951144652</c:v>
                </c:pt>
                <c:pt idx="75">
                  <c:v>9.4702238222406372</c:v>
                </c:pt>
                <c:pt idx="76">
                  <c:v>10.516860644176653</c:v>
                </c:pt>
                <c:pt idx="77">
                  <c:v>11.560091451686809</c:v>
                </c:pt>
                <c:pt idx="78">
                  <c:v>12.597899955270904</c:v>
                </c:pt>
                <c:pt idx="79">
                  <c:v>13.626644931827514</c:v>
                </c:pt>
                <c:pt idx="80">
                  <c:v>14.639396925489685</c:v>
                </c:pt>
                <c:pt idx="81">
                  <c:v>15.622355266795967</c:v>
                </c:pt>
                <c:pt idx="82">
                  <c:v>16.547678029089582</c:v>
                </c:pt>
                <c:pt idx="83">
                  <c:v>17.363660827941352</c:v>
                </c:pt>
                <c:pt idx="84">
                  <c:v>18</c:v>
                </c:pt>
                <c:pt idx="85">
                  <c:v>18.418717777020433</c:v>
                </c:pt>
                <c:pt idx="86">
                  <c:v>18.657791927247739</c:v>
                </c:pt>
                <c:pt idx="87">
                  <c:v>18.787526114033206</c:v>
                </c:pt>
                <c:pt idx="88">
                  <c:v>18.859624721806</c:v>
                </c:pt>
                <c:pt idx="89">
                  <c:v>18.90192967722291</c:v>
                </c:pt>
                <c:pt idx="90">
                  <c:v>18.928241649745381</c:v>
                </c:pt>
                <c:pt idx="91">
                  <c:v>18.945490095240366</c:v>
                </c:pt>
                <c:pt idx="92">
                  <c:v>18.957316236809287</c:v>
                </c:pt>
                <c:pt idx="93">
                  <c:v>18.965736363952352</c:v>
                </c:pt>
                <c:pt idx="94">
                  <c:v>18.971924385905258</c:v>
                </c:pt>
                <c:pt idx="95">
                  <c:v>18.976595314833077</c:v>
                </c:pt>
                <c:pt idx="96">
                  <c:v>18.98020229986416</c:v>
                </c:pt>
                <c:pt idx="97">
                  <c:v>18.989957675810579</c:v>
                </c:pt>
                <c:pt idx="98">
                  <c:v>18.993959906686442</c:v>
                </c:pt>
                <c:pt idx="99">
                  <c:v>18.995975186456445</c:v>
                </c:pt>
                <c:pt idx="100">
                  <c:v>18.997128700135786</c:v>
                </c:pt>
                <c:pt idx="101">
                  <c:v>18.997849496727426</c:v>
                </c:pt>
                <c:pt idx="102">
                  <c:v>18.998329597678236</c:v>
                </c:pt>
                <c:pt idx="103">
                  <c:v>18.99866529031771</c:v>
                </c:pt>
                <c:pt idx="104">
                  <c:v>18.998909145753487</c:v>
                </c:pt>
                <c:pt idx="105">
                  <c:v>18.99909183100219</c:v>
                </c:pt>
                <c:pt idx="106">
                  <c:v>18.999232209303901</c:v>
                </c:pt>
                <c:pt idx="107">
                  <c:v>18.999342398454278</c:v>
                </c:pt>
                <c:pt idx="108">
                  <c:v>18.999430470356739</c:v>
                </c:pt>
                <c:pt idx="109">
                  <c:v>18.999501969658152</c:v>
                </c:pt>
                <c:pt idx="110">
                  <c:v>18.999560806841011</c:v>
                </c:pt>
                <c:pt idx="111">
                  <c:v>18.999609803754385</c:v>
                </c:pt>
                <c:pt idx="112">
                  <c:v>18.999651037962295</c:v>
                </c:pt>
                <c:pt idx="113">
                  <c:v>18.99968606642673</c:v>
                </c:pt>
                <c:pt idx="114">
                  <c:v>18.999716074529342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613-46B2-B875-0B138DC5D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464416"/>
        <c:axId val="1535455776"/>
      </c:scatterChart>
      <c:valAx>
        <c:axId val="1535464416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55776"/>
        <c:crosses val="autoZero"/>
        <c:crossBetween val="midCat"/>
      </c:valAx>
      <c:valAx>
        <c:axId val="153545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64416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年齢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m=3, k=10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'Sheet2_3 (3_m2)'!$D$3:$D$117</c:f>
              <c:numCache>
                <c:formatCode>0.00_);[Red]\(0.00\)</c:formatCode>
                <c:ptCount val="115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1.5833333333333335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1.8333333333333335</c:v>
                </c:pt>
                <c:pt idx="23">
                  <c:v>1.9166666666666665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35</c:v>
                </c:pt>
                <c:pt idx="98">
                  <c:v>40</c:v>
                </c:pt>
                <c:pt idx="99">
                  <c:v>45</c:v>
                </c:pt>
                <c:pt idx="100">
                  <c:v>50</c:v>
                </c:pt>
                <c:pt idx="101">
                  <c:v>55</c:v>
                </c:pt>
                <c:pt idx="102">
                  <c:v>60</c:v>
                </c:pt>
                <c:pt idx="103">
                  <c:v>65</c:v>
                </c:pt>
                <c:pt idx="104">
                  <c:v>70</c:v>
                </c:pt>
                <c:pt idx="105">
                  <c:v>75</c:v>
                </c:pt>
                <c:pt idx="106">
                  <c:v>80</c:v>
                </c:pt>
                <c:pt idx="107">
                  <c:v>85</c:v>
                </c:pt>
                <c:pt idx="108">
                  <c:v>90</c:v>
                </c:pt>
                <c:pt idx="109">
                  <c:v>95</c:v>
                </c:pt>
                <c:pt idx="110">
                  <c:v>100</c:v>
                </c:pt>
                <c:pt idx="111">
                  <c:v>105</c:v>
                </c:pt>
                <c:pt idx="112">
                  <c:v>110</c:v>
                </c:pt>
                <c:pt idx="113">
                  <c:v>115</c:v>
                </c:pt>
                <c:pt idx="114">
                  <c:v>120</c:v>
                </c:pt>
              </c:numCache>
            </c:numRef>
          </c:xVal>
          <c:yVal>
            <c:numRef>
              <c:f>'Sheet2_3 (3_m2)'!$F$3:$F$117</c:f>
              <c:numCache>
                <c:formatCode>0.000_ </c:formatCode>
                <c:ptCount val="115"/>
                <c:pt idx="0">
                  <c:v>0</c:v>
                </c:pt>
                <c:pt idx="1">
                  <c:v>8.7005192549449717E-2</c:v>
                </c:pt>
                <c:pt idx="2">
                  <c:v>0.17400629953469204</c:v>
                </c:pt>
                <c:pt idx="3">
                  <c:v>0.26100282867837077</c:v>
                </c:pt>
                <c:pt idx="4">
                  <c:v>0.34799421162405153</c:v>
                </c:pt>
                <c:pt idx="5">
                  <c:v>0.43497978945255866</c:v>
                </c:pt>
                <c:pt idx="6">
                  <c:v>0.52195879489467156</c:v>
                </c:pt>
                <c:pt idx="7">
                  <c:v>0.60893033035545718</c:v>
                </c:pt>
                <c:pt idx="8">
                  <c:v>0.69589334059160013</c:v>
                </c:pt>
                <c:pt idx="9">
                  <c:v>0.78284657851231199</c:v>
                </c:pt>
                <c:pt idx="10">
                  <c:v>0.86978856206805011</c:v>
                </c:pt>
                <c:pt idx="11">
                  <c:v>0.95671751949328288</c:v>
                </c:pt>
                <c:pt idx="12">
                  <c:v>1.0436313191977482</c:v>
                </c:pt>
                <c:pt idx="13">
                  <c:v>1.1305273792335686</c:v>
                </c:pt>
                <c:pt idx="14">
                  <c:v>1.2174025493210492</c:v>
                </c:pt>
                <c:pt idx="15">
                  <c:v>1.3042529556176965</c:v>
                </c:pt>
                <c:pt idx="16">
                  <c:v>1.391073794338431</c:v>
                </c:pt>
                <c:pt idx="17">
                  <c:v>1.4778590543187062</c:v>
                </c:pt>
                <c:pt idx="18">
                  <c:v>1.5646011396116264</c:v>
                </c:pt>
                <c:pt idx="19">
                  <c:v>1.6512903495508839</c:v>
                </c:pt>
                <c:pt idx="20">
                  <c:v>1.737914152670748</c:v>
                </c:pt>
                <c:pt idx="21">
                  <c:v>1.8244561579596357</c:v>
                </c:pt>
                <c:pt idx="22">
                  <c:v>1.9108946346162505</c:v>
                </c:pt>
                <c:pt idx="23">
                  <c:v>1.9972003470331139</c:v>
                </c:pt>
                <c:pt idx="24">
                  <c:v>2.0833333333333277</c:v>
                </c:pt>
                <c:pt idx="25">
                  <c:v>2.1692380258965516</c:v>
                </c:pt>
                <c:pt idx="26">
                  <c:v>2.2548357266705956</c:v>
                </c:pt>
                <c:pt idx="27">
                  <c:v>2.3400128013357779</c:v>
                </c:pt>
                <c:pt idx="28">
                  <c:v>2.4246018770975648</c:v>
                </c:pt>
                <c:pt idx="29">
                  <c:v>2.5083516038226517</c:v>
                </c:pt>
                <c:pt idx="30">
                  <c:v>2.590878069284539</c:v>
                </c:pt>
                <c:pt idx="31">
                  <c:v>2.6715884939621453</c:v>
                </c:pt>
                <c:pt idx="32">
                  <c:v>2.7495693569891584</c:v>
                </c:pt>
                <c:pt idx="33">
                  <c:v>2.8234496120618569</c:v>
                </c:pt>
                <c:pt idx="34">
                  <c:v>2.89131265199812</c:v>
                </c:pt>
                <c:pt idx="35">
                  <c:v>2.9508510955334493</c:v>
                </c:pt>
                <c:pt idx="36">
                  <c:v>3</c:v>
                </c:pt>
                <c:pt idx="37">
                  <c:v>3.0379026566307985</c:v>
                </c:pt>
                <c:pt idx="38">
                  <c:v>3.0654157741928185</c:v>
                </c:pt>
                <c:pt idx="39">
                  <c:v>3.0846042953539041</c:v>
                </c:pt>
                <c:pt idx="40">
                  <c:v>3.0977756013785553</c:v>
                </c:pt>
                <c:pt idx="41">
                  <c:v>3.1068462994488915</c:v>
                </c:pt>
                <c:pt idx="42">
                  <c:v>3.113187435868634</c:v>
                </c:pt>
                <c:pt idx="43">
                  <c:v>3.1177125315040963</c:v>
                </c:pt>
                <c:pt idx="44">
                  <c:v>3.1210143658763583</c:v>
                </c:pt>
                <c:pt idx="45">
                  <c:v>3.1234768512119206</c:v>
                </c:pt>
                <c:pt idx="46">
                  <c:v>3.125351337644088</c:v>
                </c:pt>
                <c:pt idx="47">
                  <c:v>3.1268051979673932</c:v>
                </c:pt>
                <c:pt idx="48">
                  <c:v>3.1279520665015181</c:v>
                </c:pt>
                <c:pt idx="49">
                  <c:v>3.1288706412986538</c:v>
                </c:pt>
                <c:pt idx="50">
                  <c:v>3.1296164899791394</c:v>
                </c:pt>
                <c:pt idx="51">
                  <c:v>3.1302295744198738</c:v>
                </c:pt>
                <c:pt idx="52">
                  <c:v>3.1307391302283358</c:v>
                </c:pt>
                <c:pt idx="53">
                  <c:v>3.1311668882058203</c:v>
                </c:pt>
                <c:pt idx="54">
                  <c:v>3.1315292393639123</c:v>
                </c:pt>
                <c:pt idx="55">
                  <c:v>3.1318387151683416</c:v>
                </c:pt>
                <c:pt idx="56">
                  <c:v>3.1321050162854154</c:v>
                </c:pt>
                <c:pt idx="57">
                  <c:v>3.1323357386620301</c:v>
                </c:pt>
                <c:pt idx="58">
                  <c:v>3.1325368934627318</c:v>
                </c:pt>
                <c:pt idx="59">
                  <c:v>3.1327132844726004</c:v>
                </c:pt>
                <c:pt idx="60">
                  <c:v>3.1328687855341295</c:v>
                </c:pt>
                <c:pt idx="61">
                  <c:v>3.1330065469270134</c:v>
                </c:pt>
                <c:pt idx="62">
                  <c:v>3.1331291505991299</c:v>
                </c:pt>
                <c:pt idx="63">
                  <c:v>3.1332387281407406</c:v>
                </c:pt>
                <c:pt idx="64">
                  <c:v>3.1333370513173784</c:v>
                </c:pt>
                <c:pt idx="65">
                  <c:v>3.1334256021785847</c:v>
                </c:pt>
                <c:pt idx="66">
                  <c:v>3.1335056278151483</c:v>
                </c:pt>
                <c:pt idx="67">
                  <c:v>3.1335781834703846</c:v>
                </c:pt>
                <c:pt idx="68">
                  <c:v>3.1336441667392267</c:v>
                </c:pt>
                <c:pt idx="69">
                  <c:v>3.1337043448908948</c:v>
                </c:pt>
                <c:pt idx="70">
                  <c:v>3.1337593768445657</c:v>
                </c:pt>
                <c:pt idx="71">
                  <c:v>3.1338098309566722</c:v>
                </c:pt>
                <c:pt idx="72">
                  <c:v>3.1338561995045722</c:v>
                </c:pt>
                <c:pt idx="73">
                  <c:v>3.1342080830639274</c:v>
                </c:pt>
                <c:pt idx="74">
                  <c:v>3.1343720857188142</c:v>
                </c:pt>
                <c:pt idx="75">
                  <c:v>3.1344614764343408</c:v>
                </c:pt>
                <c:pt idx="76">
                  <c:v>3.1345154797599646</c:v>
                </c:pt>
                <c:pt idx="77">
                  <c:v>3.1345505718003901</c:v>
                </c:pt>
                <c:pt idx="78">
                  <c:v>3.1345746498368321</c:v>
                </c:pt>
                <c:pt idx="79">
                  <c:v>3.1345918822325411</c:v>
                </c:pt>
                <c:pt idx="80">
                  <c:v>3.1346046373703387</c:v>
                </c:pt>
                <c:pt idx="81">
                  <c:v>3.13461434161254</c:v>
                </c:pt>
                <c:pt idx="82">
                  <c:v>3.1346218955377236</c:v>
                </c:pt>
                <c:pt idx="83">
                  <c:v>3.1346278904319687</c:v>
                </c:pt>
                <c:pt idx="84">
                  <c:v>3.134632727507173</c:v>
                </c:pt>
                <c:pt idx="85">
                  <c:v>3.1346366867643596</c:v>
                </c:pt>
                <c:pt idx="86">
                  <c:v>3.1346399684175004</c:v>
                </c:pt>
                <c:pt idx="87">
                  <c:v>3.1346427186965178</c:v>
                </c:pt>
                <c:pt idx="88">
                  <c:v>3.1346450464155513</c:v>
                </c:pt>
                <c:pt idx="89">
                  <c:v>3.1346470338989612</c:v>
                </c:pt>
                <c:pt idx="90">
                  <c:v>3.1346487443586479</c:v>
                </c:pt>
                <c:pt idx="91">
                  <c:v>3.134650226981226</c:v>
                </c:pt>
                <c:pt idx="92">
                  <c:v>3.1346515205028762</c:v>
                </c:pt>
                <c:pt idx="93">
                  <c:v>3.1346526557646754</c:v>
                </c:pt>
                <c:pt idx="94">
                  <c:v>3.1346536575676267</c:v>
                </c:pt>
                <c:pt idx="95">
                  <c:v>3.1346545460384383</c:v>
                </c:pt>
                <c:pt idx="96">
                  <c:v>3.1346553376481285</c:v>
                </c:pt>
                <c:pt idx="97">
                  <c:v>3.1346582465258712</c:v>
                </c:pt>
                <c:pt idx="98">
                  <c:v>3.1346600581747595</c:v>
                </c:pt>
                <c:pt idx="99">
                  <c:v>3.1346612622979344</c:v>
                </c:pt>
                <c:pt idx="100">
                  <c:v>3.1346621030219146</c:v>
                </c:pt>
                <c:pt idx="101">
                  <c:v>3.1346627131189799</c:v>
                </c:pt>
                <c:pt idx="102">
                  <c:v>3.134663169830997</c:v>
                </c:pt>
                <c:pt idx="103">
                  <c:v>3.1346635205755176</c:v>
                </c:pt>
                <c:pt idx="104">
                  <c:v>3.1346637957685202</c:v>
                </c:pt>
                <c:pt idx="105">
                  <c:v>3.1346640156475116</c:v>
                </c:pt>
                <c:pt idx="106">
                  <c:v>3.1346641941012559</c:v>
                </c:pt>
                <c:pt idx="107">
                  <c:v>3.1346643409180381</c:v>
                </c:pt>
                <c:pt idx="108">
                  <c:v>3.1346644631570424</c:v>
                </c:pt>
                <c:pt idx="109">
                  <c:v>3.134664566012999</c:v>
                </c:pt>
                <c:pt idx="110">
                  <c:v>3.1346646533773761</c:v>
                </c:pt>
                <c:pt idx="111">
                  <c:v>3.1346647282118894</c:v>
                </c:pt>
                <c:pt idx="112">
                  <c:v>3.1346647928028686</c:v>
                </c:pt>
                <c:pt idx="113">
                  <c:v>3.1346648489379829</c:v>
                </c:pt>
                <c:pt idx="114">
                  <c:v>3.134664898031319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B3-479F-B4A0-878D69E8B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464416"/>
        <c:axId val="1535455776"/>
      </c:scatterChart>
      <c:valAx>
        <c:axId val="153546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55776"/>
        <c:crosses val="autoZero"/>
        <c:crossBetween val="midCat"/>
      </c:valAx>
      <c:valAx>
        <c:axId val="153545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64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年齢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m=3, k=min2(2.469)</c:v>
          </c:tx>
          <c:marker>
            <c:symbol val="none"/>
          </c:marker>
          <c:xVal>
            <c:numRef>
              <c:f>'Sheet2_3 (3_m2)'!$D$3:$D$117</c:f>
              <c:numCache>
                <c:formatCode>0.00_);[Red]\(0.00\)</c:formatCode>
                <c:ptCount val="115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1.5833333333333335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1.8333333333333335</c:v>
                </c:pt>
                <c:pt idx="23">
                  <c:v>1.9166666666666665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35</c:v>
                </c:pt>
                <c:pt idx="98">
                  <c:v>40</c:v>
                </c:pt>
                <c:pt idx="99">
                  <c:v>45</c:v>
                </c:pt>
                <c:pt idx="100">
                  <c:v>50</c:v>
                </c:pt>
                <c:pt idx="101">
                  <c:v>55</c:v>
                </c:pt>
                <c:pt idx="102">
                  <c:v>60</c:v>
                </c:pt>
                <c:pt idx="103">
                  <c:v>65</c:v>
                </c:pt>
                <c:pt idx="104">
                  <c:v>70</c:v>
                </c:pt>
                <c:pt idx="105">
                  <c:v>75</c:v>
                </c:pt>
                <c:pt idx="106">
                  <c:v>80</c:v>
                </c:pt>
                <c:pt idx="107">
                  <c:v>85</c:v>
                </c:pt>
                <c:pt idx="108">
                  <c:v>90</c:v>
                </c:pt>
                <c:pt idx="109">
                  <c:v>95</c:v>
                </c:pt>
                <c:pt idx="110">
                  <c:v>100</c:v>
                </c:pt>
                <c:pt idx="111">
                  <c:v>105</c:v>
                </c:pt>
                <c:pt idx="112">
                  <c:v>110</c:v>
                </c:pt>
                <c:pt idx="113">
                  <c:v>115</c:v>
                </c:pt>
                <c:pt idx="114">
                  <c:v>120</c:v>
                </c:pt>
              </c:numCache>
            </c:numRef>
          </c:xVal>
          <c:yVal>
            <c:numRef>
              <c:f>'Sheet2_3 (3_m2)'!$F$3:$F$117</c:f>
              <c:numCache>
                <c:formatCode>0.000_ </c:formatCode>
                <c:ptCount val="115"/>
                <c:pt idx="0">
                  <c:v>0</c:v>
                </c:pt>
                <c:pt idx="1">
                  <c:v>8.7005192549449717E-2</c:v>
                </c:pt>
                <c:pt idx="2">
                  <c:v>0.17400629953469204</c:v>
                </c:pt>
                <c:pt idx="3">
                  <c:v>0.26100282867837077</c:v>
                </c:pt>
                <c:pt idx="4">
                  <c:v>0.34799421162405153</c:v>
                </c:pt>
                <c:pt idx="5">
                  <c:v>0.43497978945255866</c:v>
                </c:pt>
                <c:pt idx="6">
                  <c:v>0.52195879489467156</c:v>
                </c:pt>
                <c:pt idx="7">
                  <c:v>0.60893033035545718</c:v>
                </c:pt>
                <c:pt idx="8">
                  <c:v>0.69589334059160013</c:v>
                </c:pt>
                <c:pt idx="9">
                  <c:v>0.78284657851231199</c:v>
                </c:pt>
                <c:pt idx="10">
                  <c:v>0.86978856206805011</c:v>
                </c:pt>
                <c:pt idx="11">
                  <c:v>0.95671751949328288</c:v>
                </c:pt>
                <c:pt idx="12">
                  <c:v>1.0436313191977482</c:v>
                </c:pt>
                <c:pt idx="13">
                  <c:v>1.1305273792335686</c:v>
                </c:pt>
                <c:pt idx="14">
                  <c:v>1.2174025493210492</c:v>
                </c:pt>
                <c:pt idx="15">
                  <c:v>1.3042529556176965</c:v>
                </c:pt>
                <c:pt idx="16">
                  <c:v>1.391073794338431</c:v>
                </c:pt>
                <c:pt idx="17">
                  <c:v>1.4778590543187062</c:v>
                </c:pt>
                <c:pt idx="18">
                  <c:v>1.5646011396116264</c:v>
                </c:pt>
                <c:pt idx="19">
                  <c:v>1.6512903495508839</c:v>
                </c:pt>
                <c:pt idx="20">
                  <c:v>1.737914152670748</c:v>
                </c:pt>
                <c:pt idx="21">
                  <c:v>1.8244561579596357</c:v>
                </c:pt>
                <c:pt idx="22">
                  <c:v>1.9108946346162505</c:v>
                </c:pt>
                <c:pt idx="23">
                  <c:v>1.9972003470331139</c:v>
                </c:pt>
                <c:pt idx="24">
                  <c:v>2.0833333333333277</c:v>
                </c:pt>
                <c:pt idx="25">
                  <c:v>2.1692380258965516</c:v>
                </c:pt>
                <c:pt idx="26">
                  <c:v>2.2548357266705956</c:v>
                </c:pt>
                <c:pt idx="27">
                  <c:v>2.3400128013357779</c:v>
                </c:pt>
                <c:pt idx="28">
                  <c:v>2.4246018770975648</c:v>
                </c:pt>
                <c:pt idx="29">
                  <c:v>2.5083516038226517</c:v>
                </c:pt>
                <c:pt idx="30">
                  <c:v>2.590878069284539</c:v>
                </c:pt>
                <c:pt idx="31">
                  <c:v>2.6715884939621453</c:v>
                </c:pt>
                <c:pt idx="32">
                  <c:v>2.7495693569891584</c:v>
                </c:pt>
                <c:pt idx="33">
                  <c:v>2.8234496120618569</c:v>
                </c:pt>
                <c:pt idx="34">
                  <c:v>2.89131265199812</c:v>
                </c:pt>
                <c:pt idx="35">
                  <c:v>2.9508510955334493</c:v>
                </c:pt>
                <c:pt idx="36">
                  <c:v>3</c:v>
                </c:pt>
                <c:pt idx="37">
                  <c:v>3.0379026566307985</c:v>
                </c:pt>
                <c:pt idx="38">
                  <c:v>3.0654157741928185</c:v>
                </c:pt>
                <c:pt idx="39">
                  <c:v>3.0846042953539041</c:v>
                </c:pt>
                <c:pt idx="40">
                  <c:v>3.0977756013785553</c:v>
                </c:pt>
                <c:pt idx="41">
                  <c:v>3.1068462994488915</c:v>
                </c:pt>
                <c:pt idx="42">
                  <c:v>3.113187435868634</c:v>
                </c:pt>
                <c:pt idx="43">
                  <c:v>3.1177125315040963</c:v>
                </c:pt>
                <c:pt idx="44">
                  <c:v>3.1210143658763583</c:v>
                </c:pt>
                <c:pt idx="45">
                  <c:v>3.1234768512119206</c:v>
                </c:pt>
                <c:pt idx="46">
                  <c:v>3.125351337644088</c:v>
                </c:pt>
                <c:pt idx="47">
                  <c:v>3.1268051979673932</c:v>
                </c:pt>
                <c:pt idx="48">
                  <c:v>3.1279520665015181</c:v>
                </c:pt>
                <c:pt idx="49">
                  <c:v>3.1288706412986538</c:v>
                </c:pt>
                <c:pt idx="50">
                  <c:v>3.1296164899791394</c:v>
                </c:pt>
                <c:pt idx="51">
                  <c:v>3.1302295744198738</c:v>
                </c:pt>
                <c:pt idx="52">
                  <c:v>3.1307391302283358</c:v>
                </c:pt>
                <c:pt idx="53">
                  <c:v>3.1311668882058203</c:v>
                </c:pt>
                <c:pt idx="54">
                  <c:v>3.1315292393639123</c:v>
                </c:pt>
                <c:pt idx="55">
                  <c:v>3.1318387151683416</c:v>
                </c:pt>
                <c:pt idx="56">
                  <c:v>3.1321050162854154</c:v>
                </c:pt>
                <c:pt idx="57">
                  <c:v>3.1323357386620301</c:v>
                </c:pt>
                <c:pt idx="58">
                  <c:v>3.1325368934627318</c:v>
                </c:pt>
                <c:pt idx="59">
                  <c:v>3.1327132844726004</c:v>
                </c:pt>
                <c:pt idx="60">
                  <c:v>3.1328687855341295</c:v>
                </c:pt>
                <c:pt idx="61">
                  <c:v>3.1330065469270134</c:v>
                </c:pt>
                <c:pt idx="62">
                  <c:v>3.1331291505991299</c:v>
                </c:pt>
                <c:pt idx="63">
                  <c:v>3.1332387281407406</c:v>
                </c:pt>
                <c:pt idx="64">
                  <c:v>3.1333370513173784</c:v>
                </c:pt>
                <c:pt idx="65">
                  <c:v>3.1334256021785847</c:v>
                </c:pt>
                <c:pt idx="66">
                  <c:v>3.1335056278151483</c:v>
                </c:pt>
                <c:pt idx="67">
                  <c:v>3.1335781834703846</c:v>
                </c:pt>
                <c:pt idx="68">
                  <c:v>3.1336441667392267</c:v>
                </c:pt>
                <c:pt idx="69">
                  <c:v>3.1337043448908948</c:v>
                </c:pt>
                <c:pt idx="70">
                  <c:v>3.1337593768445657</c:v>
                </c:pt>
                <c:pt idx="71">
                  <c:v>3.1338098309566722</c:v>
                </c:pt>
                <c:pt idx="72">
                  <c:v>3.1338561995045722</c:v>
                </c:pt>
                <c:pt idx="73">
                  <c:v>3.1342080830639274</c:v>
                </c:pt>
                <c:pt idx="74">
                  <c:v>3.1343720857188142</c:v>
                </c:pt>
                <c:pt idx="75">
                  <c:v>3.1344614764343408</c:v>
                </c:pt>
                <c:pt idx="76">
                  <c:v>3.1345154797599646</c:v>
                </c:pt>
                <c:pt idx="77">
                  <c:v>3.1345505718003901</c:v>
                </c:pt>
                <c:pt idx="78">
                  <c:v>3.1345746498368321</c:v>
                </c:pt>
                <c:pt idx="79">
                  <c:v>3.1345918822325411</c:v>
                </c:pt>
                <c:pt idx="80">
                  <c:v>3.1346046373703387</c:v>
                </c:pt>
                <c:pt idx="81">
                  <c:v>3.13461434161254</c:v>
                </c:pt>
                <c:pt idx="82">
                  <c:v>3.1346218955377236</c:v>
                </c:pt>
                <c:pt idx="83">
                  <c:v>3.1346278904319687</c:v>
                </c:pt>
                <c:pt idx="84">
                  <c:v>3.134632727507173</c:v>
                </c:pt>
                <c:pt idx="85">
                  <c:v>3.1346366867643596</c:v>
                </c:pt>
                <c:pt idx="86">
                  <c:v>3.1346399684175004</c:v>
                </c:pt>
                <c:pt idx="87">
                  <c:v>3.1346427186965178</c:v>
                </c:pt>
                <c:pt idx="88">
                  <c:v>3.1346450464155513</c:v>
                </c:pt>
                <c:pt idx="89">
                  <c:v>3.1346470338989612</c:v>
                </c:pt>
                <c:pt idx="90">
                  <c:v>3.1346487443586479</c:v>
                </c:pt>
                <c:pt idx="91">
                  <c:v>3.134650226981226</c:v>
                </c:pt>
                <c:pt idx="92">
                  <c:v>3.1346515205028762</c:v>
                </c:pt>
                <c:pt idx="93">
                  <c:v>3.1346526557646754</c:v>
                </c:pt>
                <c:pt idx="94">
                  <c:v>3.1346536575676267</c:v>
                </c:pt>
                <c:pt idx="95">
                  <c:v>3.1346545460384383</c:v>
                </c:pt>
                <c:pt idx="96">
                  <c:v>3.1346553376481285</c:v>
                </c:pt>
                <c:pt idx="97">
                  <c:v>3.1346582465258712</c:v>
                </c:pt>
                <c:pt idx="98">
                  <c:v>3.1346600581747595</c:v>
                </c:pt>
                <c:pt idx="99">
                  <c:v>3.1346612622979344</c:v>
                </c:pt>
                <c:pt idx="100">
                  <c:v>3.1346621030219146</c:v>
                </c:pt>
                <c:pt idx="101">
                  <c:v>3.1346627131189799</c:v>
                </c:pt>
                <c:pt idx="102">
                  <c:v>3.134663169830997</c:v>
                </c:pt>
                <c:pt idx="103">
                  <c:v>3.1346635205755176</c:v>
                </c:pt>
                <c:pt idx="104">
                  <c:v>3.1346637957685202</c:v>
                </c:pt>
                <c:pt idx="105">
                  <c:v>3.1346640156475116</c:v>
                </c:pt>
                <c:pt idx="106">
                  <c:v>3.1346641941012559</c:v>
                </c:pt>
                <c:pt idx="107">
                  <c:v>3.1346643409180381</c:v>
                </c:pt>
                <c:pt idx="108">
                  <c:v>3.1346644631570424</c:v>
                </c:pt>
                <c:pt idx="109">
                  <c:v>3.134664566012999</c:v>
                </c:pt>
                <c:pt idx="110">
                  <c:v>3.1346646533773761</c:v>
                </c:pt>
                <c:pt idx="111">
                  <c:v>3.1346647282118894</c:v>
                </c:pt>
                <c:pt idx="112">
                  <c:v>3.1346647928028686</c:v>
                </c:pt>
                <c:pt idx="113">
                  <c:v>3.1346648489379829</c:v>
                </c:pt>
                <c:pt idx="114">
                  <c:v>3.134664898031319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238-4B1B-8BC9-75B1B0608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464416"/>
        <c:axId val="1535455776"/>
      </c:scatterChart>
      <c:valAx>
        <c:axId val="1535464416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55776"/>
        <c:crosses val="autoZero"/>
        <c:crossBetween val="midCat"/>
      </c:valAx>
      <c:valAx>
        <c:axId val="153545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64416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年齢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m=3, k=min2(2.469)</c:v>
          </c:tx>
          <c:marker>
            <c:symbol val="none"/>
          </c:marker>
          <c:xVal>
            <c:numRef>
              <c:f>'Sheet2_3 (3_m2)'!$D$3:$D$117</c:f>
              <c:numCache>
                <c:formatCode>0.00_);[Red]\(0.00\)</c:formatCode>
                <c:ptCount val="115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1.5833333333333335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1.8333333333333335</c:v>
                </c:pt>
                <c:pt idx="23">
                  <c:v>1.9166666666666665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35</c:v>
                </c:pt>
                <c:pt idx="98">
                  <c:v>40</c:v>
                </c:pt>
                <c:pt idx="99">
                  <c:v>45</c:v>
                </c:pt>
                <c:pt idx="100">
                  <c:v>50</c:v>
                </c:pt>
                <c:pt idx="101">
                  <c:v>55</c:v>
                </c:pt>
                <c:pt idx="102">
                  <c:v>60</c:v>
                </c:pt>
                <c:pt idx="103">
                  <c:v>65</c:v>
                </c:pt>
                <c:pt idx="104">
                  <c:v>70</c:v>
                </c:pt>
                <c:pt idx="105">
                  <c:v>75</c:v>
                </c:pt>
                <c:pt idx="106">
                  <c:v>80</c:v>
                </c:pt>
                <c:pt idx="107">
                  <c:v>85</c:v>
                </c:pt>
                <c:pt idx="108">
                  <c:v>90</c:v>
                </c:pt>
                <c:pt idx="109">
                  <c:v>95</c:v>
                </c:pt>
                <c:pt idx="110">
                  <c:v>100</c:v>
                </c:pt>
                <c:pt idx="111">
                  <c:v>105</c:v>
                </c:pt>
                <c:pt idx="112">
                  <c:v>110</c:v>
                </c:pt>
                <c:pt idx="113">
                  <c:v>115</c:v>
                </c:pt>
                <c:pt idx="114">
                  <c:v>120</c:v>
                </c:pt>
              </c:numCache>
            </c:numRef>
          </c:xVal>
          <c:yVal>
            <c:numRef>
              <c:f>'Sheet2_3 (3_m2)'!$F$3:$F$117</c:f>
              <c:numCache>
                <c:formatCode>0.000_ </c:formatCode>
                <c:ptCount val="115"/>
                <c:pt idx="0">
                  <c:v>0</c:v>
                </c:pt>
                <c:pt idx="1">
                  <c:v>8.7005192549449717E-2</c:v>
                </c:pt>
                <c:pt idx="2">
                  <c:v>0.17400629953469204</c:v>
                </c:pt>
                <c:pt idx="3">
                  <c:v>0.26100282867837077</c:v>
                </c:pt>
                <c:pt idx="4">
                  <c:v>0.34799421162405153</c:v>
                </c:pt>
                <c:pt idx="5">
                  <c:v>0.43497978945255866</c:v>
                </c:pt>
                <c:pt idx="6">
                  <c:v>0.52195879489467156</c:v>
                </c:pt>
                <c:pt idx="7">
                  <c:v>0.60893033035545718</c:v>
                </c:pt>
                <c:pt idx="8">
                  <c:v>0.69589334059160013</c:v>
                </c:pt>
                <c:pt idx="9">
                  <c:v>0.78284657851231199</c:v>
                </c:pt>
                <c:pt idx="10">
                  <c:v>0.86978856206805011</c:v>
                </c:pt>
                <c:pt idx="11">
                  <c:v>0.95671751949328288</c:v>
                </c:pt>
                <c:pt idx="12">
                  <c:v>1.0436313191977482</c:v>
                </c:pt>
                <c:pt idx="13">
                  <c:v>1.1305273792335686</c:v>
                </c:pt>
                <c:pt idx="14">
                  <c:v>1.2174025493210492</c:v>
                </c:pt>
                <c:pt idx="15">
                  <c:v>1.3042529556176965</c:v>
                </c:pt>
                <c:pt idx="16">
                  <c:v>1.391073794338431</c:v>
                </c:pt>
                <c:pt idx="17">
                  <c:v>1.4778590543187062</c:v>
                </c:pt>
                <c:pt idx="18">
                  <c:v>1.5646011396116264</c:v>
                </c:pt>
                <c:pt idx="19">
                  <c:v>1.6512903495508839</c:v>
                </c:pt>
                <c:pt idx="20">
                  <c:v>1.737914152670748</c:v>
                </c:pt>
                <c:pt idx="21">
                  <c:v>1.8244561579596357</c:v>
                </c:pt>
                <c:pt idx="22">
                  <c:v>1.9108946346162505</c:v>
                </c:pt>
                <c:pt idx="23">
                  <c:v>1.9972003470331139</c:v>
                </c:pt>
                <c:pt idx="24">
                  <c:v>2.0833333333333277</c:v>
                </c:pt>
                <c:pt idx="25">
                  <c:v>2.1692380258965516</c:v>
                </c:pt>
                <c:pt idx="26">
                  <c:v>2.2548357266705956</c:v>
                </c:pt>
                <c:pt idx="27">
                  <c:v>2.3400128013357779</c:v>
                </c:pt>
                <c:pt idx="28">
                  <c:v>2.4246018770975648</c:v>
                </c:pt>
                <c:pt idx="29">
                  <c:v>2.5083516038226517</c:v>
                </c:pt>
                <c:pt idx="30">
                  <c:v>2.590878069284539</c:v>
                </c:pt>
                <c:pt idx="31">
                  <c:v>2.6715884939621453</c:v>
                </c:pt>
                <c:pt idx="32">
                  <c:v>2.7495693569891584</c:v>
                </c:pt>
                <c:pt idx="33">
                  <c:v>2.8234496120618569</c:v>
                </c:pt>
                <c:pt idx="34">
                  <c:v>2.89131265199812</c:v>
                </c:pt>
                <c:pt idx="35">
                  <c:v>2.9508510955334493</c:v>
                </c:pt>
                <c:pt idx="36">
                  <c:v>3</c:v>
                </c:pt>
                <c:pt idx="37">
                  <c:v>3.0379026566307985</c:v>
                </c:pt>
                <c:pt idx="38">
                  <c:v>3.0654157741928185</c:v>
                </c:pt>
                <c:pt idx="39">
                  <c:v>3.0846042953539041</c:v>
                </c:pt>
                <c:pt idx="40">
                  <c:v>3.0977756013785553</c:v>
                </c:pt>
                <c:pt idx="41">
                  <c:v>3.1068462994488915</c:v>
                </c:pt>
                <c:pt idx="42">
                  <c:v>3.113187435868634</c:v>
                </c:pt>
                <c:pt idx="43">
                  <c:v>3.1177125315040963</c:v>
                </c:pt>
                <c:pt idx="44">
                  <c:v>3.1210143658763583</c:v>
                </c:pt>
                <c:pt idx="45">
                  <c:v>3.1234768512119206</c:v>
                </c:pt>
                <c:pt idx="46">
                  <c:v>3.125351337644088</c:v>
                </c:pt>
                <c:pt idx="47">
                  <c:v>3.1268051979673932</c:v>
                </c:pt>
                <c:pt idx="48">
                  <c:v>3.1279520665015181</c:v>
                </c:pt>
                <c:pt idx="49">
                  <c:v>3.1288706412986538</c:v>
                </c:pt>
                <c:pt idx="50">
                  <c:v>3.1296164899791394</c:v>
                </c:pt>
                <c:pt idx="51">
                  <c:v>3.1302295744198738</c:v>
                </c:pt>
                <c:pt idx="52">
                  <c:v>3.1307391302283358</c:v>
                </c:pt>
                <c:pt idx="53">
                  <c:v>3.1311668882058203</c:v>
                </c:pt>
                <c:pt idx="54">
                  <c:v>3.1315292393639123</c:v>
                </c:pt>
                <c:pt idx="55">
                  <c:v>3.1318387151683416</c:v>
                </c:pt>
                <c:pt idx="56">
                  <c:v>3.1321050162854154</c:v>
                </c:pt>
                <c:pt idx="57">
                  <c:v>3.1323357386620301</c:v>
                </c:pt>
                <c:pt idx="58">
                  <c:v>3.1325368934627318</c:v>
                </c:pt>
                <c:pt idx="59">
                  <c:v>3.1327132844726004</c:v>
                </c:pt>
                <c:pt idx="60">
                  <c:v>3.1328687855341295</c:v>
                </c:pt>
                <c:pt idx="61">
                  <c:v>3.1330065469270134</c:v>
                </c:pt>
                <c:pt idx="62">
                  <c:v>3.1331291505991299</c:v>
                </c:pt>
                <c:pt idx="63">
                  <c:v>3.1332387281407406</c:v>
                </c:pt>
                <c:pt idx="64">
                  <c:v>3.1333370513173784</c:v>
                </c:pt>
                <c:pt idx="65">
                  <c:v>3.1334256021785847</c:v>
                </c:pt>
                <c:pt idx="66">
                  <c:v>3.1335056278151483</c:v>
                </c:pt>
                <c:pt idx="67">
                  <c:v>3.1335781834703846</c:v>
                </c:pt>
                <c:pt idx="68">
                  <c:v>3.1336441667392267</c:v>
                </c:pt>
                <c:pt idx="69">
                  <c:v>3.1337043448908948</c:v>
                </c:pt>
                <c:pt idx="70">
                  <c:v>3.1337593768445657</c:v>
                </c:pt>
                <c:pt idx="71">
                  <c:v>3.1338098309566722</c:v>
                </c:pt>
                <c:pt idx="72">
                  <c:v>3.1338561995045722</c:v>
                </c:pt>
                <c:pt idx="73">
                  <c:v>3.1342080830639274</c:v>
                </c:pt>
                <c:pt idx="74">
                  <c:v>3.1343720857188142</c:v>
                </c:pt>
                <c:pt idx="75">
                  <c:v>3.1344614764343408</c:v>
                </c:pt>
                <c:pt idx="76">
                  <c:v>3.1345154797599646</c:v>
                </c:pt>
                <c:pt idx="77">
                  <c:v>3.1345505718003901</c:v>
                </c:pt>
                <c:pt idx="78">
                  <c:v>3.1345746498368321</c:v>
                </c:pt>
                <c:pt idx="79">
                  <c:v>3.1345918822325411</c:v>
                </c:pt>
                <c:pt idx="80">
                  <c:v>3.1346046373703387</c:v>
                </c:pt>
                <c:pt idx="81">
                  <c:v>3.13461434161254</c:v>
                </c:pt>
                <c:pt idx="82">
                  <c:v>3.1346218955377236</c:v>
                </c:pt>
                <c:pt idx="83">
                  <c:v>3.1346278904319687</c:v>
                </c:pt>
                <c:pt idx="84">
                  <c:v>3.134632727507173</c:v>
                </c:pt>
                <c:pt idx="85">
                  <c:v>3.1346366867643596</c:v>
                </c:pt>
                <c:pt idx="86">
                  <c:v>3.1346399684175004</c:v>
                </c:pt>
                <c:pt idx="87">
                  <c:v>3.1346427186965178</c:v>
                </c:pt>
                <c:pt idx="88">
                  <c:v>3.1346450464155513</c:v>
                </c:pt>
                <c:pt idx="89">
                  <c:v>3.1346470338989612</c:v>
                </c:pt>
                <c:pt idx="90">
                  <c:v>3.1346487443586479</c:v>
                </c:pt>
                <c:pt idx="91">
                  <c:v>3.134650226981226</c:v>
                </c:pt>
                <c:pt idx="92">
                  <c:v>3.1346515205028762</c:v>
                </c:pt>
                <c:pt idx="93">
                  <c:v>3.1346526557646754</c:v>
                </c:pt>
                <c:pt idx="94">
                  <c:v>3.1346536575676267</c:v>
                </c:pt>
                <c:pt idx="95">
                  <c:v>3.1346545460384383</c:v>
                </c:pt>
                <c:pt idx="96">
                  <c:v>3.1346553376481285</c:v>
                </c:pt>
                <c:pt idx="97">
                  <c:v>3.1346582465258712</c:v>
                </c:pt>
                <c:pt idx="98">
                  <c:v>3.1346600581747595</c:v>
                </c:pt>
                <c:pt idx="99">
                  <c:v>3.1346612622979344</c:v>
                </c:pt>
                <c:pt idx="100">
                  <c:v>3.1346621030219146</c:v>
                </c:pt>
                <c:pt idx="101">
                  <c:v>3.1346627131189799</c:v>
                </c:pt>
                <c:pt idx="102">
                  <c:v>3.134663169830997</c:v>
                </c:pt>
                <c:pt idx="103">
                  <c:v>3.1346635205755176</c:v>
                </c:pt>
                <c:pt idx="104">
                  <c:v>3.1346637957685202</c:v>
                </c:pt>
                <c:pt idx="105">
                  <c:v>3.1346640156475116</c:v>
                </c:pt>
                <c:pt idx="106">
                  <c:v>3.1346641941012559</c:v>
                </c:pt>
                <c:pt idx="107">
                  <c:v>3.1346643409180381</c:v>
                </c:pt>
                <c:pt idx="108">
                  <c:v>3.1346644631570424</c:v>
                </c:pt>
                <c:pt idx="109">
                  <c:v>3.134664566012999</c:v>
                </c:pt>
                <c:pt idx="110">
                  <c:v>3.1346646533773761</c:v>
                </c:pt>
                <c:pt idx="111">
                  <c:v>3.1346647282118894</c:v>
                </c:pt>
                <c:pt idx="112">
                  <c:v>3.1346647928028686</c:v>
                </c:pt>
                <c:pt idx="113">
                  <c:v>3.1346648489379829</c:v>
                </c:pt>
                <c:pt idx="114">
                  <c:v>3.134664898031319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4E-4CF8-9205-F24585EA9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464416"/>
        <c:axId val="1535455776"/>
      </c:scatterChart>
      <c:valAx>
        <c:axId val="1535464416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55776"/>
        <c:crosses val="autoZero"/>
        <c:crossBetween val="midCat"/>
      </c:valAx>
      <c:valAx>
        <c:axId val="153545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64416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年齢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m=3, k=10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'Sheet2_3 (18_m2)'!$D$3:$D$117</c:f>
              <c:numCache>
                <c:formatCode>0.00_);[Red]\(0.00\)</c:formatCode>
                <c:ptCount val="115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1.5833333333333335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1.8333333333333335</c:v>
                </c:pt>
                <c:pt idx="23">
                  <c:v>1.9166666666666665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35</c:v>
                </c:pt>
                <c:pt idx="98">
                  <c:v>40</c:v>
                </c:pt>
                <c:pt idx="99">
                  <c:v>45</c:v>
                </c:pt>
                <c:pt idx="100">
                  <c:v>50</c:v>
                </c:pt>
                <c:pt idx="101">
                  <c:v>55</c:v>
                </c:pt>
                <c:pt idx="102">
                  <c:v>60</c:v>
                </c:pt>
                <c:pt idx="103">
                  <c:v>65</c:v>
                </c:pt>
                <c:pt idx="104">
                  <c:v>70</c:v>
                </c:pt>
                <c:pt idx="105">
                  <c:v>75</c:v>
                </c:pt>
                <c:pt idx="106">
                  <c:v>80</c:v>
                </c:pt>
                <c:pt idx="107">
                  <c:v>85</c:v>
                </c:pt>
                <c:pt idx="108">
                  <c:v>90</c:v>
                </c:pt>
                <c:pt idx="109">
                  <c:v>95</c:v>
                </c:pt>
                <c:pt idx="110">
                  <c:v>100</c:v>
                </c:pt>
                <c:pt idx="111">
                  <c:v>105</c:v>
                </c:pt>
                <c:pt idx="112">
                  <c:v>110</c:v>
                </c:pt>
                <c:pt idx="113">
                  <c:v>115</c:v>
                </c:pt>
                <c:pt idx="114">
                  <c:v>120</c:v>
                </c:pt>
              </c:numCache>
            </c:numRef>
          </c:xVal>
          <c:yVal>
            <c:numRef>
              <c:f>'Sheet2_3 (18_m2)'!$F$3:$F$117</c:f>
              <c:numCache>
                <c:formatCode>0.000_ </c:formatCode>
                <c:ptCount val="115"/>
                <c:pt idx="0">
                  <c:v>0</c:v>
                </c:pt>
                <c:pt idx="1">
                  <c:v>8.3753088791457486E-2</c:v>
                </c:pt>
                <c:pt idx="2">
                  <c:v>0.16750617660106926</c:v>
                </c:pt>
                <c:pt idx="3">
                  <c:v>0.25125926341034344</c:v>
                </c:pt>
                <c:pt idx="4">
                  <c:v>0.33501234920037248</c:v>
                </c:pt>
                <c:pt idx="5">
                  <c:v>0.41876543395180121</c:v>
                </c:pt>
                <c:pt idx="6">
                  <c:v>0.50251851764479127</c:v>
                </c:pt>
                <c:pt idx="7">
                  <c:v>0.58627160025904956</c:v>
                </c:pt>
                <c:pt idx="8">
                  <c:v>0.67002468177379271</c:v>
                </c:pt>
                <c:pt idx="9">
                  <c:v>0.75377776216771863</c:v>
                </c:pt>
                <c:pt idx="10">
                  <c:v>0.83753084141902079</c:v>
                </c:pt>
                <c:pt idx="11">
                  <c:v>0.92128391950535971</c:v>
                </c:pt>
                <c:pt idx="12">
                  <c:v>1.005036996403831</c:v>
                </c:pt>
                <c:pt idx="13">
                  <c:v>1.0887900720909904</c:v>
                </c:pt>
                <c:pt idx="14">
                  <c:v>1.1725431465428002</c:v>
                </c:pt>
                <c:pt idx="15">
                  <c:v>1.2562962197346081</c:v>
                </c:pt>
                <c:pt idx="16">
                  <c:v>1.3400492916411721</c:v>
                </c:pt>
                <c:pt idx="17">
                  <c:v>1.4238023622365965</c:v>
                </c:pt>
                <c:pt idx="18">
                  <c:v>1.5075554314943318</c:v>
                </c:pt>
                <c:pt idx="19">
                  <c:v>1.5913084993871536</c:v>
                </c:pt>
                <c:pt idx="20">
                  <c:v>1.6750615658871588</c:v>
                </c:pt>
                <c:pt idx="21">
                  <c:v>1.7588146309656949</c:v>
                </c:pt>
                <c:pt idx="22">
                  <c:v>1.8425676945933986</c:v>
                </c:pt>
                <c:pt idx="23">
                  <c:v>1.9263207567401288</c:v>
                </c:pt>
                <c:pt idx="24">
                  <c:v>2.0100738173749555</c:v>
                </c:pt>
                <c:pt idx="25">
                  <c:v>2.0938268764661494</c:v>
                </c:pt>
                <c:pt idx="26">
                  <c:v>2.1775799339811375</c:v>
                </c:pt>
                <c:pt idx="27">
                  <c:v>2.2613329898864833</c:v>
                </c:pt>
                <c:pt idx="28">
                  <c:v>2.3450860441478589</c:v>
                </c:pt>
                <c:pt idx="29">
                  <c:v>2.4288390967300142</c:v>
                </c:pt>
                <c:pt idx="30">
                  <c:v>2.5125921475967594</c:v>
                </c:pt>
                <c:pt idx="31">
                  <c:v>2.5963451967109101</c:v>
                </c:pt>
                <c:pt idx="32">
                  <c:v>2.6800982440342764</c:v>
                </c:pt>
                <c:pt idx="33">
                  <c:v>2.7638512895276239</c:v>
                </c:pt>
                <c:pt idx="34">
                  <c:v>2.8476043331506382</c:v>
                </c:pt>
                <c:pt idx="35">
                  <c:v>2.931357374861884</c:v>
                </c:pt>
                <c:pt idx="36">
                  <c:v>3.0151104146187748</c:v>
                </c:pt>
                <c:pt idx="37">
                  <c:v>3.0988634523775325</c:v>
                </c:pt>
                <c:pt idx="38">
                  <c:v>3.1826164880931458</c:v>
                </c:pt>
                <c:pt idx="39">
                  <c:v>3.26636952171933</c:v>
                </c:pt>
                <c:pt idx="40">
                  <c:v>3.3501225532084806</c:v>
                </c:pt>
                <c:pt idx="41">
                  <c:v>3.4338755825116269</c:v>
                </c:pt>
                <c:pt idx="42">
                  <c:v>3.5176286095783915</c:v>
                </c:pt>
                <c:pt idx="43">
                  <c:v>3.6013816343569438</c:v>
                </c:pt>
                <c:pt idx="44">
                  <c:v>3.6851346567939274</c:v>
                </c:pt>
                <c:pt idx="45">
                  <c:v>3.7688876768344368</c:v>
                </c:pt>
                <c:pt idx="46">
                  <c:v>3.8526406944219378</c:v>
                </c:pt>
                <c:pt idx="47">
                  <c:v>3.9363937094982226</c:v>
                </c:pt>
                <c:pt idx="48">
                  <c:v>4.02014672200335</c:v>
                </c:pt>
                <c:pt idx="49">
                  <c:v>4.1038997318755719</c:v>
                </c:pt>
                <c:pt idx="50">
                  <c:v>4.1876527390512894</c:v>
                </c:pt>
                <c:pt idx="51">
                  <c:v>4.2714057434649515</c:v>
                </c:pt>
                <c:pt idx="52">
                  <c:v>4.3551587450490228</c:v>
                </c:pt>
                <c:pt idx="53">
                  <c:v>4.4389117437338843</c:v>
                </c:pt>
                <c:pt idx="54">
                  <c:v>4.5226647394477535</c:v>
                </c:pt>
                <c:pt idx="55">
                  <c:v>4.6064177321166291</c:v>
                </c:pt>
                <c:pt idx="56">
                  <c:v>4.690170721664181</c:v>
                </c:pt>
                <c:pt idx="57">
                  <c:v>4.7739237080116688</c:v>
                </c:pt>
                <c:pt idx="58">
                  <c:v>4.8576766910778648</c:v>
                </c:pt>
                <c:pt idx="59">
                  <c:v>4.9414296707789482</c:v>
                </c:pt>
                <c:pt idx="60">
                  <c:v>5.0251826470283874</c:v>
                </c:pt>
                <c:pt idx="61">
                  <c:v>5.1089356197368687</c:v>
                </c:pt>
                <c:pt idx="62">
                  <c:v>5.192688588812171</c:v>
                </c:pt>
                <c:pt idx="63">
                  <c:v>5.2764415541590406</c:v>
                </c:pt>
                <c:pt idx="64">
                  <c:v>5.3601945156790869</c:v>
                </c:pt>
                <c:pt idx="65">
                  <c:v>5.4439474732706596</c:v>
                </c:pt>
                <c:pt idx="66">
                  <c:v>5.5277004268286962</c:v>
                </c:pt>
                <c:pt idx="67">
                  <c:v>5.6114533762446133</c:v>
                </c:pt>
                <c:pt idx="68">
                  <c:v>5.6952063214061432</c:v>
                </c:pt>
                <c:pt idx="69">
                  <c:v>5.778959262197187</c:v>
                </c:pt>
                <c:pt idx="70">
                  <c:v>5.8627121984976593</c:v>
                </c:pt>
                <c:pt idx="71">
                  <c:v>5.9464651301833307</c:v>
                </c:pt>
                <c:pt idx="72">
                  <c:v>6.0302180571256336</c:v>
                </c:pt>
                <c:pt idx="73">
                  <c:v>7.0352527568761207</c:v>
                </c:pt>
                <c:pt idx="74">
                  <c:v>8.0402864485496028</c:v>
                </c:pt>
                <c:pt idx="75">
                  <c:v>9.0453186604040692</c:v>
                </c:pt>
                <c:pt idx="76">
                  <c:v>10.050348608720952</c:v>
                </c:pt>
                <c:pt idx="77">
                  <c:v>11.055374913117586</c:v>
                </c:pt>
                <c:pt idx="78">
                  <c:v>12.060394955493713</c:v>
                </c:pt>
                <c:pt idx="79">
                  <c:v>13.065403264469396</c:v>
                </c:pt>
                <c:pt idx="80">
                  <c:v>14.070386777404584</c:v>
                </c:pt>
                <c:pt idx="81">
                  <c:v>15.075307569637257</c:v>
                </c:pt>
                <c:pt idx="82">
                  <c:v>16.080013845898801</c:v>
                </c:pt>
                <c:pt idx="83">
                  <c:v>17.083333333333332</c:v>
                </c:pt>
                <c:pt idx="84">
                  <c:v>18</c:v>
                </c:pt>
                <c:pt idx="85">
                  <c:v>18.088371237508905</c:v>
                </c:pt>
                <c:pt idx="86">
                  <c:v>18.090089654249944</c:v>
                </c:pt>
                <c:pt idx="87">
                  <c:v>18.090421282163973</c:v>
                </c:pt>
                <c:pt idx="88">
                  <c:v>18.090538394106868</c:v>
                </c:pt>
                <c:pt idx="89">
                  <c:v>18.090592785347251</c:v>
                </c:pt>
                <c:pt idx="90">
                  <c:v>18.090622380547142</c:v>
                </c:pt>
                <c:pt idx="91">
                  <c:v>18.090640242346584</c:v>
                </c:pt>
                <c:pt idx="92">
                  <c:v>18.090651842125524</c:v>
                </c:pt>
                <c:pt idx="93">
                  <c:v>18.090659797984209</c:v>
                </c:pt>
                <c:pt idx="94">
                  <c:v>18.090665490305316</c:v>
                </c:pt>
                <c:pt idx="95">
                  <c:v>18.090669702807407</c:v>
                </c:pt>
                <c:pt idx="96">
                  <c:v>18.090672907232488</c:v>
                </c:pt>
                <c:pt idx="97">
                  <c:v>18.090681367388544</c:v>
                </c:pt>
                <c:pt idx="98">
                  <c:v>18.090684753211416</c:v>
                </c:pt>
                <c:pt idx="99">
                  <c:v>18.090686439802294</c:v>
                </c:pt>
                <c:pt idx="100">
                  <c:v>18.090687399719769</c:v>
                </c:pt>
                <c:pt idx="101">
                  <c:v>18.090687997537074</c:v>
                </c:pt>
                <c:pt idx="102">
                  <c:v>18.090688394871727</c:v>
                </c:pt>
                <c:pt idx="103">
                  <c:v>18.090688672288614</c:v>
                </c:pt>
                <c:pt idx="104">
                  <c:v>18.09068887360268</c:v>
                </c:pt>
                <c:pt idx="105">
                  <c:v>18.090689024303092</c:v>
                </c:pt>
                <c:pt idx="106">
                  <c:v>18.090689140036979</c:v>
                </c:pt>
                <c:pt idx="107">
                  <c:v>18.090689230841019</c:v>
                </c:pt>
                <c:pt idx="108">
                  <c:v>18.090689303393123</c:v>
                </c:pt>
                <c:pt idx="109">
                  <c:v>18.09068936227624</c:v>
                </c:pt>
                <c:pt idx="110">
                  <c:v>18.090689410720223</c:v>
                </c:pt>
                <c:pt idx="111">
                  <c:v>18.090689451054395</c:v>
                </c:pt>
                <c:pt idx="112">
                  <c:v>18.090689484992861</c:v>
                </c:pt>
                <c:pt idx="113">
                  <c:v>18.090689513819669</c:v>
                </c:pt>
                <c:pt idx="114">
                  <c:v>18.090689538512081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60-4178-8CAE-88DE916B7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464416"/>
        <c:axId val="1535455776"/>
      </c:scatterChart>
      <c:valAx>
        <c:axId val="153546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55776"/>
        <c:crosses val="autoZero"/>
        <c:crossBetween val="midCat"/>
      </c:valAx>
      <c:valAx>
        <c:axId val="153545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64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年齢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m=18, k=min2(3.527)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'Sheet2_3 (18_m2)'!$D$3:$D$117</c:f>
              <c:numCache>
                <c:formatCode>0.00_);[Red]\(0.00\)</c:formatCode>
                <c:ptCount val="115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1.5833333333333335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1.8333333333333335</c:v>
                </c:pt>
                <c:pt idx="23">
                  <c:v>1.9166666666666665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35</c:v>
                </c:pt>
                <c:pt idx="98">
                  <c:v>40</c:v>
                </c:pt>
                <c:pt idx="99">
                  <c:v>45</c:v>
                </c:pt>
                <c:pt idx="100">
                  <c:v>50</c:v>
                </c:pt>
                <c:pt idx="101">
                  <c:v>55</c:v>
                </c:pt>
                <c:pt idx="102">
                  <c:v>60</c:v>
                </c:pt>
                <c:pt idx="103">
                  <c:v>65</c:v>
                </c:pt>
                <c:pt idx="104">
                  <c:v>70</c:v>
                </c:pt>
                <c:pt idx="105">
                  <c:v>75</c:v>
                </c:pt>
                <c:pt idx="106">
                  <c:v>80</c:v>
                </c:pt>
                <c:pt idx="107">
                  <c:v>85</c:v>
                </c:pt>
                <c:pt idx="108">
                  <c:v>90</c:v>
                </c:pt>
                <c:pt idx="109">
                  <c:v>95</c:v>
                </c:pt>
                <c:pt idx="110">
                  <c:v>100</c:v>
                </c:pt>
                <c:pt idx="111">
                  <c:v>105</c:v>
                </c:pt>
                <c:pt idx="112">
                  <c:v>110</c:v>
                </c:pt>
                <c:pt idx="113">
                  <c:v>115</c:v>
                </c:pt>
                <c:pt idx="114">
                  <c:v>120</c:v>
                </c:pt>
              </c:numCache>
            </c:numRef>
          </c:xVal>
          <c:yVal>
            <c:numRef>
              <c:f>'Sheet2_3 (18_m2)'!$F$3:$F$117</c:f>
              <c:numCache>
                <c:formatCode>0.000_ </c:formatCode>
                <c:ptCount val="115"/>
                <c:pt idx="0">
                  <c:v>0</c:v>
                </c:pt>
                <c:pt idx="1">
                  <c:v>8.3753088791457486E-2</c:v>
                </c:pt>
                <c:pt idx="2">
                  <c:v>0.16750617660106926</c:v>
                </c:pt>
                <c:pt idx="3">
                  <c:v>0.25125926341034344</c:v>
                </c:pt>
                <c:pt idx="4">
                  <c:v>0.33501234920037248</c:v>
                </c:pt>
                <c:pt idx="5">
                  <c:v>0.41876543395180121</c:v>
                </c:pt>
                <c:pt idx="6">
                  <c:v>0.50251851764479127</c:v>
                </c:pt>
                <c:pt idx="7">
                  <c:v>0.58627160025904956</c:v>
                </c:pt>
                <c:pt idx="8">
                  <c:v>0.67002468177379271</c:v>
                </c:pt>
                <c:pt idx="9">
                  <c:v>0.75377776216771863</c:v>
                </c:pt>
                <c:pt idx="10">
                  <c:v>0.83753084141902079</c:v>
                </c:pt>
                <c:pt idx="11">
                  <c:v>0.92128391950535971</c:v>
                </c:pt>
                <c:pt idx="12">
                  <c:v>1.005036996403831</c:v>
                </c:pt>
                <c:pt idx="13">
                  <c:v>1.0887900720909904</c:v>
                </c:pt>
                <c:pt idx="14">
                  <c:v>1.1725431465428002</c:v>
                </c:pt>
                <c:pt idx="15">
                  <c:v>1.2562962197346081</c:v>
                </c:pt>
                <c:pt idx="16">
                  <c:v>1.3400492916411721</c:v>
                </c:pt>
                <c:pt idx="17">
                  <c:v>1.4238023622365965</c:v>
                </c:pt>
                <c:pt idx="18">
                  <c:v>1.5075554314943318</c:v>
                </c:pt>
                <c:pt idx="19">
                  <c:v>1.5913084993871536</c:v>
                </c:pt>
                <c:pt idx="20">
                  <c:v>1.6750615658871588</c:v>
                </c:pt>
                <c:pt idx="21">
                  <c:v>1.7588146309656949</c:v>
                </c:pt>
                <c:pt idx="22">
                  <c:v>1.8425676945933986</c:v>
                </c:pt>
                <c:pt idx="23">
                  <c:v>1.9263207567401288</c:v>
                </c:pt>
                <c:pt idx="24">
                  <c:v>2.0100738173749555</c:v>
                </c:pt>
                <c:pt idx="25">
                  <c:v>2.0938268764661494</c:v>
                </c:pt>
                <c:pt idx="26">
                  <c:v>2.1775799339811375</c:v>
                </c:pt>
                <c:pt idx="27">
                  <c:v>2.2613329898864833</c:v>
                </c:pt>
                <c:pt idx="28">
                  <c:v>2.3450860441478589</c:v>
                </c:pt>
                <c:pt idx="29">
                  <c:v>2.4288390967300142</c:v>
                </c:pt>
                <c:pt idx="30">
                  <c:v>2.5125921475967594</c:v>
                </c:pt>
                <c:pt idx="31">
                  <c:v>2.5963451967109101</c:v>
                </c:pt>
                <c:pt idx="32">
                  <c:v>2.6800982440342764</c:v>
                </c:pt>
                <c:pt idx="33">
                  <c:v>2.7638512895276239</c:v>
                </c:pt>
                <c:pt idx="34">
                  <c:v>2.8476043331506382</c:v>
                </c:pt>
                <c:pt idx="35">
                  <c:v>2.931357374861884</c:v>
                </c:pt>
                <c:pt idx="36">
                  <c:v>3.0151104146187748</c:v>
                </c:pt>
                <c:pt idx="37">
                  <c:v>3.0988634523775325</c:v>
                </c:pt>
                <c:pt idx="38">
                  <c:v>3.1826164880931458</c:v>
                </c:pt>
                <c:pt idx="39">
                  <c:v>3.26636952171933</c:v>
                </c:pt>
                <c:pt idx="40">
                  <c:v>3.3501225532084806</c:v>
                </c:pt>
                <c:pt idx="41">
                  <c:v>3.4338755825116269</c:v>
                </c:pt>
                <c:pt idx="42">
                  <c:v>3.5176286095783915</c:v>
                </c:pt>
                <c:pt idx="43">
                  <c:v>3.6013816343569438</c:v>
                </c:pt>
                <c:pt idx="44">
                  <c:v>3.6851346567939274</c:v>
                </c:pt>
                <c:pt idx="45">
                  <c:v>3.7688876768344368</c:v>
                </c:pt>
                <c:pt idx="46">
                  <c:v>3.8526406944219378</c:v>
                </c:pt>
                <c:pt idx="47">
                  <c:v>3.9363937094982226</c:v>
                </c:pt>
                <c:pt idx="48">
                  <c:v>4.02014672200335</c:v>
                </c:pt>
                <c:pt idx="49">
                  <c:v>4.1038997318755719</c:v>
                </c:pt>
                <c:pt idx="50">
                  <c:v>4.1876527390512894</c:v>
                </c:pt>
                <c:pt idx="51">
                  <c:v>4.2714057434649515</c:v>
                </c:pt>
                <c:pt idx="52">
                  <c:v>4.3551587450490228</c:v>
                </c:pt>
                <c:pt idx="53">
                  <c:v>4.4389117437338843</c:v>
                </c:pt>
                <c:pt idx="54">
                  <c:v>4.5226647394477535</c:v>
                </c:pt>
                <c:pt idx="55">
                  <c:v>4.6064177321166291</c:v>
                </c:pt>
                <c:pt idx="56">
                  <c:v>4.690170721664181</c:v>
                </c:pt>
                <c:pt idx="57">
                  <c:v>4.7739237080116688</c:v>
                </c:pt>
                <c:pt idx="58">
                  <c:v>4.8576766910778648</c:v>
                </c:pt>
                <c:pt idx="59">
                  <c:v>4.9414296707789482</c:v>
                </c:pt>
                <c:pt idx="60">
                  <c:v>5.0251826470283874</c:v>
                </c:pt>
                <c:pt idx="61">
                  <c:v>5.1089356197368687</c:v>
                </c:pt>
                <c:pt idx="62">
                  <c:v>5.192688588812171</c:v>
                </c:pt>
                <c:pt idx="63">
                  <c:v>5.2764415541590406</c:v>
                </c:pt>
                <c:pt idx="64">
                  <c:v>5.3601945156790869</c:v>
                </c:pt>
                <c:pt idx="65">
                  <c:v>5.4439474732706596</c:v>
                </c:pt>
                <c:pt idx="66">
                  <c:v>5.5277004268286962</c:v>
                </c:pt>
                <c:pt idx="67">
                  <c:v>5.6114533762446133</c:v>
                </c:pt>
                <c:pt idx="68">
                  <c:v>5.6952063214061432</c:v>
                </c:pt>
                <c:pt idx="69">
                  <c:v>5.778959262197187</c:v>
                </c:pt>
                <c:pt idx="70">
                  <c:v>5.8627121984976593</c:v>
                </c:pt>
                <c:pt idx="71">
                  <c:v>5.9464651301833307</c:v>
                </c:pt>
                <c:pt idx="72">
                  <c:v>6.0302180571256336</c:v>
                </c:pt>
                <c:pt idx="73">
                  <c:v>7.0352527568761207</c:v>
                </c:pt>
                <c:pt idx="74">
                  <c:v>8.0402864485496028</c:v>
                </c:pt>
                <c:pt idx="75">
                  <c:v>9.0453186604040692</c:v>
                </c:pt>
                <c:pt idx="76">
                  <c:v>10.050348608720952</c:v>
                </c:pt>
                <c:pt idx="77">
                  <c:v>11.055374913117586</c:v>
                </c:pt>
                <c:pt idx="78">
                  <c:v>12.060394955493713</c:v>
                </c:pt>
                <c:pt idx="79">
                  <c:v>13.065403264469396</c:v>
                </c:pt>
                <c:pt idx="80">
                  <c:v>14.070386777404584</c:v>
                </c:pt>
                <c:pt idx="81">
                  <c:v>15.075307569637257</c:v>
                </c:pt>
                <c:pt idx="82">
                  <c:v>16.080013845898801</c:v>
                </c:pt>
                <c:pt idx="83">
                  <c:v>17.083333333333332</c:v>
                </c:pt>
                <c:pt idx="84">
                  <c:v>18</c:v>
                </c:pt>
                <c:pt idx="85">
                  <c:v>18.088371237508905</c:v>
                </c:pt>
                <c:pt idx="86">
                  <c:v>18.090089654249944</c:v>
                </c:pt>
                <c:pt idx="87">
                  <c:v>18.090421282163973</c:v>
                </c:pt>
                <c:pt idx="88">
                  <c:v>18.090538394106868</c:v>
                </c:pt>
                <c:pt idx="89">
                  <c:v>18.090592785347251</c:v>
                </c:pt>
                <c:pt idx="90">
                  <c:v>18.090622380547142</c:v>
                </c:pt>
                <c:pt idx="91">
                  <c:v>18.090640242346584</c:v>
                </c:pt>
                <c:pt idx="92">
                  <c:v>18.090651842125524</c:v>
                </c:pt>
                <c:pt idx="93">
                  <c:v>18.090659797984209</c:v>
                </c:pt>
                <c:pt idx="94">
                  <c:v>18.090665490305316</c:v>
                </c:pt>
                <c:pt idx="95">
                  <c:v>18.090669702807407</c:v>
                </c:pt>
                <c:pt idx="96">
                  <c:v>18.090672907232488</c:v>
                </c:pt>
                <c:pt idx="97">
                  <c:v>18.090681367388544</c:v>
                </c:pt>
                <c:pt idx="98">
                  <c:v>18.090684753211416</c:v>
                </c:pt>
                <c:pt idx="99">
                  <c:v>18.090686439802294</c:v>
                </c:pt>
                <c:pt idx="100">
                  <c:v>18.090687399719769</c:v>
                </c:pt>
                <c:pt idx="101">
                  <c:v>18.090687997537074</c:v>
                </c:pt>
                <c:pt idx="102">
                  <c:v>18.090688394871727</c:v>
                </c:pt>
                <c:pt idx="103">
                  <c:v>18.090688672288614</c:v>
                </c:pt>
                <c:pt idx="104">
                  <c:v>18.09068887360268</c:v>
                </c:pt>
                <c:pt idx="105">
                  <c:v>18.090689024303092</c:v>
                </c:pt>
                <c:pt idx="106">
                  <c:v>18.090689140036979</c:v>
                </c:pt>
                <c:pt idx="107">
                  <c:v>18.090689230841019</c:v>
                </c:pt>
                <c:pt idx="108">
                  <c:v>18.090689303393123</c:v>
                </c:pt>
                <c:pt idx="109">
                  <c:v>18.09068936227624</c:v>
                </c:pt>
                <c:pt idx="110">
                  <c:v>18.090689410720223</c:v>
                </c:pt>
                <c:pt idx="111">
                  <c:v>18.090689451054395</c:v>
                </c:pt>
                <c:pt idx="112">
                  <c:v>18.090689484992861</c:v>
                </c:pt>
                <c:pt idx="113">
                  <c:v>18.090689513819669</c:v>
                </c:pt>
                <c:pt idx="114">
                  <c:v>18.090689538512081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66-41AC-AC4F-76EE4D571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464416"/>
        <c:axId val="1535455776"/>
      </c:scatterChart>
      <c:valAx>
        <c:axId val="1535464416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55776"/>
        <c:crosses val="autoZero"/>
        <c:crossBetween val="midCat"/>
      </c:valAx>
      <c:valAx>
        <c:axId val="153545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64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年齢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m=18, k=min2(3.527)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'Sheet2_3 (18_m2)'!$D$3:$D$117</c:f>
              <c:numCache>
                <c:formatCode>0.00_);[Red]\(0.00\)</c:formatCode>
                <c:ptCount val="115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1.5833333333333335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1.8333333333333335</c:v>
                </c:pt>
                <c:pt idx="23">
                  <c:v>1.9166666666666665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35</c:v>
                </c:pt>
                <c:pt idx="98">
                  <c:v>40</c:v>
                </c:pt>
                <c:pt idx="99">
                  <c:v>45</c:v>
                </c:pt>
                <c:pt idx="100">
                  <c:v>50</c:v>
                </c:pt>
                <c:pt idx="101">
                  <c:v>55</c:v>
                </c:pt>
                <c:pt idx="102">
                  <c:v>60</c:v>
                </c:pt>
                <c:pt idx="103">
                  <c:v>65</c:v>
                </c:pt>
                <c:pt idx="104">
                  <c:v>70</c:v>
                </c:pt>
                <c:pt idx="105">
                  <c:v>75</c:v>
                </c:pt>
                <c:pt idx="106">
                  <c:v>80</c:v>
                </c:pt>
                <c:pt idx="107">
                  <c:v>85</c:v>
                </c:pt>
                <c:pt idx="108">
                  <c:v>90</c:v>
                </c:pt>
                <c:pt idx="109">
                  <c:v>95</c:v>
                </c:pt>
                <c:pt idx="110">
                  <c:v>100</c:v>
                </c:pt>
                <c:pt idx="111">
                  <c:v>105</c:v>
                </c:pt>
                <c:pt idx="112">
                  <c:v>110</c:v>
                </c:pt>
                <c:pt idx="113">
                  <c:v>115</c:v>
                </c:pt>
                <c:pt idx="114">
                  <c:v>120</c:v>
                </c:pt>
              </c:numCache>
            </c:numRef>
          </c:xVal>
          <c:yVal>
            <c:numRef>
              <c:f>'Sheet2_3 (18_m2)'!$F$3:$F$117</c:f>
              <c:numCache>
                <c:formatCode>0.000_ </c:formatCode>
                <c:ptCount val="115"/>
                <c:pt idx="0">
                  <c:v>0</c:v>
                </c:pt>
                <c:pt idx="1">
                  <c:v>8.3753088791457486E-2</c:v>
                </c:pt>
                <c:pt idx="2">
                  <c:v>0.16750617660106926</c:v>
                </c:pt>
                <c:pt idx="3">
                  <c:v>0.25125926341034344</c:v>
                </c:pt>
                <c:pt idx="4">
                  <c:v>0.33501234920037248</c:v>
                </c:pt>
                <c:pt idx="5">
                  <c:v>0.41876543395180121</c:v>
                </c:pt>
                <c:pt idx="6">
                  <c:v>0.50251851764479127</c:v>
                </c:pt>
                <c:pt idx="7">
                  <c:v>0.58627160025904956</c:v>
                </c:pt>
                <c:pt idx="8">
                  <c:v>0.67002468177379271</c:v>
                </c:pt>
                <c:pt idx="9">
                  <c:v>0.75377776216771863</c:v>
                </c:pt>
                <c:pt idx="10">
                  <c:v>0.83753084141902079</c:v>
                </c:pt>
                <c:pt idx="11">
                  <c:v>0.92128391950535971</c:v>
                </c:pt>
                <c:pt idx="12">
                  <c:v>1.005036996403831</c:v>
                </c:pt>
                <c:pt idx="13">
                  <c:v>1.0887900720909904</c:v>
                </c:pt>
                <c:pt idx="14">
                  <c:v>1.1725431465428002</c:v>
                </c:pt>
                <c:pt idx="15">
                  <c:v>1.2562962197346081</c:v>
                </c:pt>
                <c:pt idx="16">
                  <c:v>1.3400492916411721</c:v>
                </c:pt>
                <c:pt idx="17">
                  <c:v>1.4238023622365965</c:v>
                </c:pt>
                <c:pt idx="18">
                  <c:v>1.5075554314943318</c:v>
                </c:pt>
                <c:pt idx="19">
                  <c:v>1.5913084993871536</c:v>
                </c:pt>
                <c:pt idx="20">
                  <c:v>1.6750615658871588</c:v>
                </c:pt>
                <c:pt idx="21">
                  <c:v>1.7588146309656949</c:v>
                </c:pt>
                <c:pt idx="22">
                  <c:v>1.8425676945933986</c:v>
                </c:pt>
                <c:pt idx="23">
                  <c:v>1.9263207567401288</c:v>
                </c:pt>
                <c:pt idx="24">
                  <c:v>2.0100738173749555</c:v>
                </c:pt>
                <c:pt idx="25">
                  <c:v>2.0938268764661494</c:v>
                </c:pt>
                <c:pt idx="26">
                  <c:v>2.1775799339811375</c:v>
                </c:pt>
                <c:pt idx="27">
                  <c:v>2.2613329898864833</c:v>
                </c:pt>
                <c:pt idx="28">
                  <c:v>2.3450860441478589</c:v>
                </c:pt>
                <c:pt idx="29">
                  <c:v>2.4288390967300142</c:v>
                </c:pt>
                <c:pt idx="30">
                  <c:v>2.5125921475967594</c:v>
                </c:pt>
                <c:pt idx="31">
                  <c:v>2.5963451967109101</c:v>
                </c:pt>
                <c:pt idx="32">
                  <c:v>2.6800982440342764</c:v>
                </c:pt>
                <c:pt idx="33">
                  <c:v>2.7638512895276239</c:v>
                </c:pt>
                <c:pt idx="34">
                  <c:v>2.8476043331506382</c:v>
                </c:pt>
                <c:pt idx="35">
                  <c:v>2.931357374861884</c:v>
                </c:pt>
                <c:pt idx="36">
                  <c:v>3.0151104146187748</c:v>
                </c:pt>
                <c:pt idx="37">
                  <c:v>3.0988634523775325</c:v>
                </c:pt>
                <c:pt idx="38">
                  <c:v>3.1826164880931458</c:v>
                </c:pt>
                <c:pt idx="39">
                  <c:v>3.26636952171933</c:v>
                </c:pt>
                <c:pt idx="40">
                  <c:v>3.3501225532084806</c:v>
                </c:pt>
                <c:pt idx="41">
                  <c:v>3.4338755825116269</c:v>
                </c:pt>
                <c:pt idx="42">
                  <c:v>3.5176286095783915</c:v>
                </c:pt>
                <c:pt idx="43">
                  <c:v>3.6013816343569438</c:v>
                </c:pt>
                <c:pt idx="44">
                  <c:v>3.6851346567939274</c:v>
                </c:pt>
                <c:pt idx="45">
                  <c:v>3.7688876768344368</c:v>
                </c:pt>
                <c:pt idx="46">
                  <c:v>3.8526406944219378</c:v>
                </c:pt>
                <c:pt idx="47">
                  <c:v>3.9363937094982226</c:v>
                </c:pt>
                <c:pt idx="48">
                  <c:v>4.02014672200335</c:v>
                </c:pt>
                <c:pt idx="49">
                  <c:v>4.1038997318755719</c:v>
                </c:pt>
                <c:pt idx="50">
                  <c:v>4.1876527390512894</c:v>
                </c:pt>
                <c:pt idx="51">
                  <c:v>4.2714057434649515</c:v>
                </c:pt>
                <c:pt idx="52">
                  <c:v>4.3551587450490228</c:v>
                </c:pt>
                <c:pt idx="53">
                  <c:v>4.4389117437338843</c:v>
                </c:pt>
                <c:pt idx="54">
                  <c:v>4.5226647394477535</c:v>
                </c:pt>
                <c:pt idx="55">
                  <c:v>4.6064177321166291</c:v>
                </c:pt>
                <c:pt idx="56">
                  <c:v>4.690170721664181</c:v>
                </c:pt>
                <c:pt idx="57">
                  <c:v>4.7739237080116688</c:v>
                </c:pt>
                <c:pt idx="58">
                  <c:v>4.8576766910778648</c:v>
                </c:pt>
                <c:pt idx="59">
                  <c:v>4.9414296707789482</c:v>
                </c:pt>
                <c:pt idx="60">
                  <c:v>5.0251826470283874</c:v>
                </c:pt>
                <c:pt idx="61">
                  <c:v>5.1089356197368687</c:v>
                </c:pt>
                <c:pt idx="62">
                  <c:v>5.192688588812171</c:v>
                </c:pt>
                <c:pt idx="63">
                  <c:v>5.2764415541590406</c:v>
                </c:pt>
                <c:pt idx="64">
                  <c:v>5.3601945156790869</c:v>
                </c:pt>
                <c:pt idx="65">
                  <c:v>5.4439474732706596</c:v>
                </c:pt>
                <c:pt idx="66">
                  <c:v>5.5277004268286962</c:v>
                </c:pt>
                <c:pt idx="67">
                  <c:v>5.6114533762446133</c:v>
                </c:pt>
                <c:pt idx="68">
                  <c:v>5.6952063214061432</c:v>
                </c:pt>
                <c:pt idx="69">
                  <c:v>5.778959262197187</c:v>
                </c:pt>
                <c:pt idx="70">
                  <c:v>5.8627121984976593</c:v>
                </c:pt>
                <c:pt idx="71">
                  <c:v>5.9464651301833307</c:v>
                </c:pt>
                <c:pt idx="72">
                  <c:v>6.0302180571256336</c:v>
                </c:pt>
                <c:pt idx="73">
                  <c:v>7.0352527568761207</c:v>
                </c:pt>
                <c:pt idx="74">
                  <c:v>8.0402864485496028</c:v>
                </c:pt>
                <c:pt idx="75">
                  <c:v>9.0453186604040692</c:v>
                </c:pt>
                <c:pt idx="76">
                  <c:v>10.050348608720952</c:v>
                </c:pt>
                <c:pt idx="77">
                  <c:v>11.055374913117586</c:v>
                </c:pt>
                <c:pt idx="78">
                  <c:v>12.060394955493713</c:v>
                </c:pt>
                <c:pt idx="79">
                  <c:v>13.065403264469396</c:v>
                </c:pt>
                <c:pt idx="80">
                  <c:v>14.070386777404584</c:v>
                </c:pt>
                <c:pt idx="81">
                  <c:v>15.075307569637257</c:v>
                </c:pt>
                <c:pt idx="82">
                  <c:v>16.080013845898801</c:v>
                </c:pt>
                <c:pt idx="83">
                  <c:v>17.083333333333332</c:v>
                </c:pt>
                <c:pt idx="84">
                  <c:v>18</c:v>
                </c:pt>
                <c:pt idx="85">
                  <c:v>18.088371237508905</c:v>
                </c:pt>
                <c:pt idx="86">
                  <c:v>18.090089654249944</c:v>
                </c:pt>
                <c:pt idx="87">
                  <c:v>18.090421282163973</c:v>
                </c:pt>
                <c:pt idx="88">
                  <c:v>18.090538394106868</c:v>
                </c:pt>
                <c:pt idx="89">
                  <c:v>18.090592785347251</c:v>
                </c:pt>
                <c:pt idx="90">
                  <c:v>18.090622380547142</c:v>
                </c:pt>
                <c:pt idx="91">
                  <c:v>18.090640242346584</c:v>
                </c:pt>
                <c:pt idx="92">
                  <c:v>18.090651842125524</c:v>
                </c:pt>
                <c:pt idx="93">
                  <c:v>18.090659797984209</c:v>
                </c:pt>
                <c:pt idx="94">
                  <c:v>18.090665490305316</c:v>
                </c:pt>
                <c:pt idx="95">
                  <c:v>18.090669702807407</c:v>
                </c:pt>
                <c:pt idx="96">
                  <c:v>18.090672907232488</c:v>
                </c:pt>
                <c:pt idx="97">
                  <c:v>18.090681367388544</c:v>
                </c:pt>
                <c:pt idx="98">
                  <c:v>18.090684753211416</c:v>
                </c:pt>
                <c:pt idx="99">
                  <c:v>18.090686439802294</c:v>
                </c:pt>
                <c:pt idx="100">
                  <c:v>18.090687399719769</c:v>
                </c:pt>
                <c:pt idx="101">
                  <c:v>18.090687997537074</c:v>
                </c:pt>
                <c:pt idx="102">
                  <c:v>18.090688394871727</c:v>
                </c:pt>
                <c:pt idx="103">
                  <c:v>18.090688672288614</c:v>
                </c:pt>
                <c:pt idx="104">
                  <c:v>18.09068887360268</c:v>
                </c:pt>
                <c:pt idx="105">
                  <c:v>18.090689024303092</c:v>
                </c:pt>
                <c:pt idx="106">
                  <c:v>18.090689140036979</c:v>
                </c:pt>
                <c:pt idx="107">
                  <c:v>18.090689230841019</c:v>
                </c:pt>
                <c:pt idx="108">
                  <c:v>18.090689303393123</c:v>
                </c:pt>
                <c:pt idx="109">
                  <c:v>18.09068936227624</c:v>
                </c:pt>
                <c:pt idx="110">
                  <c:v>18.090689410720223</c:v>
                </c:pt>
                <c:pt idx="111">
                  <c:v>18.090689451054395</c:v>
                </c:pt>
                <c:pt idx="112">
                  <c:v>18.090689484992861</c:v>
                </c:pt>
                <c:pt idx="113">
                  <c:v>18.090689513819669</c:v>
                </c:pt>
                <c:pt idx="114">
                  <c:v>18.090689538512081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FA-46F4-AAA0-0CC3D6F27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464416"/>
        <c:axId val="1535455776"/>
      </c:scatterChart>
      <c:valAx>
        <c:axId val="1535464416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55776"/>
        <c:crosses val="autoZero"/>
        <c:crossBetween val="midCat"/>
      </c:valAx>
      <c:valAx>
        <c:axId val="153545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5464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4761</xdr:colOff>
      <xdr:row>2</xdr:row>
      <xdr:rowOff>114300</xdr:rowOff>
    </xdr:from>
    <xdr:to>
      <xdr:col>8</xdr:col>
      <xdr:colOff>185738</xdr:colOff>
      <xdr:row>18</xdr:row>
      <xdr:rowOff>9525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D166B68-2C50-4682-82D1-9136D8C6EE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2</xdr:row>
      <xdr:rowOff>166687</xdr:rowOff>
    </xdr:from>
    <xdr:to>
      <xdr:col>17</xdr:col>
      <xdr:colOff>676275</xdr:colOff>
      <xdr:row>18</xdr:row>
      <xdr:rowOff>61912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F84A919-FEFB-472B-B34B-D0C550A86E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557214</xdr:colOff>
      <xdr:row>7</xdr:row>
      <xdr:rowOff>83342</xdr:rowOff>
    </xdr:from>
    <xdr:to>
      <xdr:col>18</xdr:col>
      <xdr:colOff>328614</xdr:colOff>
      <xdr:row>19</xdr:row>
      <xdr:rowOff>140492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422B35B-6659-49DC-AECB-6474FE55A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557214</xdr:colOff>
      <xdr:row>7</xdr:row>
      <xdr:rowOff>83342</xdr:rowOff>
    </xdr:from>
    <xdr:to>
      <xdr:col>17</xdr:col>
      <xdr:colOff>328614</xdr:colOff>
      <xdr:row>19</xdr:row>
      <xdr:rowOff>140492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AD4B12F-4599-40B0-B139-4A5E68D2EB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21</xdr:row>
      <xdr:rowOff>0</xdr:rowOff>
    </xdr:from>
    <xdr:to>
      <xdr:col>19</xdr:col>
      <xdr:colOff>572400</xdr:colOff>
      <xdr:row>36</xdr:row>
      <xdr:rowOff>120038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C9317FC-022E-4AC5-98DB-61D95E9DFA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38</xdr:row>
      <xdr:rowOff>0</xdr:rowOff>
    </xdr:from>
    <xdr:to>
      <xdr:col>19</xdr:col>
      <xdr:colOff>572400</xdr:colOff>
      <xdr:row>53</xdr:row>
      <xdr:rowOff>120037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7480B3E-6E9F-4D63-A391-225F920774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557214</xdr:colOff>
      <xdr:row>7</xdr:row>
      <xdr:rowOff>83342</xdr:rowOff>
    </xdr:from>
    <xdr:to>
      <xdr:col>18</xdr:col>
      <xdr:colOff>328614</xdr:colOff>
      <xdr:row>19</xdr:row>
      <xdr:rowOff>140492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B1FE6CE-3EEC-45C7-846A-910B8439CA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552450</xdr:colOff>
      <xdr:row>20</xdr:row>
      <xdr:rowOff>57150</xdr:rowOff>
    </xdr:from>
    <xdr:to>
      <xdr:col>20</xdr:col>
      <xdr:colOff>439050</xdr:colOff>
      <xdr:row>35</xdr:row>
      <xdr:rowOff>177187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112FC6E-01FD-4DAC-B39B-C826CA5D0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571500</xdr:colOff>
      <xdr:row>37</xdr:row>
      <xdr:rowOff>100012</xdr:rowOff>
    </xdr:from>
    <xdr:to>
      <xdr:col>20</xdr:col>
      <xdr:colOff>458100</xdr:colOff>
      <xdr:row>52</xdr:row>
      <xdr:rowOff>220050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6290B0CE-9DC5-4F22-B3E0-D08525C13E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557214</xdr:colOff>
      <xdr:row>7</xdr:row>
      <xdr:rowOff>83342</xdr:rowOff>
    </xdr:from>
    <xdr:to>
      <xdr:col>18</xdr:col>
      <xdr:colOff>328614</xdr:colOff>
      <xdr:row>19</xdr:row>
      <xdr:rowOff>140492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551ACA6-ED4C-41B6-8BEF-EA5CCB08A4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21</xdr:row>
      <xdr:rowOff>0</xdr:rowOff>
    </xdr:from>
    <xdr:to>
      <xdr:col>20</xdr:col>
      <xdr:colOff>572400</xdr:colOff>
      <xdr:row>36</xdr:row>
      <xdr:rowOff>120038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86454ED-3DAB-407B-BA83-F15500644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38</xdr:row>
      <xdr:rowOff>0</xdr:rowOff>
    </xdr:from>
    <xdr:to>
      <xdr:col>20</xdr:col>
      <xdr:colOff>572400</xdr:colOff>
      <xdr:row>53</xdr:row>
      <xdr:rowOff>120037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C2619244-7517-45A0-9DC6-662D80D5DF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557214</xdr:colOff>
      <xdr:row>7</xdr:row>
      <xdr:rowOff>83342</xdr:rowOff>
    </xdr:from>
    <xdr:to>
      <xdr:col>18</xdr:col>
      <xdr:colOff>328614</xdr:colOff>
      <xdr:row>19</xdr:row>
      <xdr:rowOff>140492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51F3200-F28E-4AAB-BFBA-5913B7244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22</xdr:row>
      <xdr:rowOff>0</xdr:rowOff>
    </xdr:from>
    <xdr:to>
      <xdr:col>20</xdr:col>
      <xdr:colOff>572400</xdr:colOff>
      <xdr:row>37</xdr:row>
      <xdr:rowOff>120037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288820A-F7DA-44E6-86C4-7E59A8061C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20</xdr:col>
      <xdr:colOff>572400</xdr:colOff>
      <xdr:row>54</xdr:row>
      <xdr:rowOff>120038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3A57A5D6-1E43-4A53-8603-FDD61DC921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2czrad1\Desktop\san-tyai\Phase2\&#24180;&#40802;&#21454;&#26463;&#38306;&#25968;(ver2).xlsx" TargetMode="External"/><Relationship Id="rId1" Type="http://schemas.openxmlformats.org/officeDocument/2006/relationships/externalLinkPath" Target="&#24180;&#40802;&#21454;&#26463;&#38306;&#25968;(ver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_3 (3_10)"/>
      <sheetName val="Sheet2_3 (3_m2)"/>
      <sheetName val="Sheet2_3 (18_m2)"/>
      <sheetName val="Sheet2_3 (18_10)"/>
      <sheetName val="Sheet2_2 (3_m1)"/>
      <sheetName val="Sheet2_3 (3_inf)"/>
      <sheetName val="Sheet3 (3_m3)"/>
      <sheetName val="Sheet3 (18_m3)"/>
      <sheetName val="Sheet2"/>
    </sheetNames>
    <sheetDataSet>
      <sheetData sheetId="0" refreshError="1"/>
      <sheetData sheetId="1" refreshError="1"/>
      <sheetData sheetId="2">
        <row r="3">
          <cell r="D3">
            <v>0</v>
          </cell>
          <cell r="F3">
            <v>0</v>
          </cell>
        </row>
        <row r="4">
          <cell r="D4">
            <v>8.3333333333333329E-2</v>
          </cell>
          <cell r="F4">
            <v>8.7005192549449717E-2</v>
          </cell>
        </row>
        <row r="5">
          <cell r="D5">
            <v>0.16666666666666666</v>
          </cell>
          <cell r="F5">
            <v>0.17400629953469204</v>
          </cell>
        </row>
        <row r="6">
          <cell r="D6">
            <v>0.25</v>
          </cell>
          <cell r="F6">
            <v>0.26100282867837077</v>
          </cell>
        </row>
        <row r="7">
          <cell r="D7">
            <v>0.33333333333333331</v>
          </cell>
          <cell r="F7">
            <v>0.34799421162405153</v>
          </cell>
        </row>
        <row r="8">
          <cell r="D8">
            <v>0.41666666666666669</v>
          </cell>
          <cell r="F8">
            <v>0.43497978945255866</v>
          </cell>
        </row>
        <row r="9">
          <cell r="D9">
            <v>0.5</v>
          </cell>
          <cell r="F9">
            <v>0.52195879489467156</v>
          </cell>
        </row>
        <row r="10">
          <cell r="D10">
            <v>0.58333333333333337</v>
          </cell>
          <cell r="F10">
            <v>0.60893033035545718</v>
          </cell>
        </row>
        <row r="11">
          <cell r="D11">
            <v>0.66666666666666663</v>
          </cell>
          <cell r="F11">
            <v>0.69589334059160013</v>
          </cell>
        </row>
        <row r="12">
          <cell r="D12">
            <v>0.75</v>
          </cell>
          <cell r="F12">
            <v>0.78284657851231199</v>
          </cell>
        </row>
        <row r="13">
          <cell r="D13">
            <v>0.83333333333333337</v>
          </cell>
          <cell r="F13">
            <v>0.86978856206805011</v>
          </cell>
        </row>
        <row r="14">
          <cell r="D14">
            <v>0.91666666666666663</v>
          </cell>
          <cell r="F14">
            <v>0.95671751949328288</v>
          </cell>
        </row>
        <row r="15">
          <cell r="D15">
            <v>1</v>
          </cell>
          <cell r="F15">
            <v>1.0436313191977482</v>
          </cell>
        </row>
        <row r="16">
          <cell r="D16">
            <v>1.0833333333333333</v>
          </cell>
          <cell r="F16">
            <v>1.1305273792335686</v>
          </cell>
        </row>
        <row r="17">
          <cell r="D17">
            <v>1.1666666666666667</v>
          </cell>
          <cell r="F17">
            <v>1.2174025493210492</v>
          </cell>
        </row>
        <row r="18">
          <cell r="D18">
            <v>1.25</v>
          </cell>
          <cell r="F18">
            <v>1.3042529556176965</v>
          </cell>
        </row>
        <row r="19">
          <cell r="D19">
            <v>1.3333333333333333</v>
          </cell>
          <cell r="F19">
            <v>1.391073794338431</v>
          </cell>
        </row>
        <row r="20">
          <cell r="D20">
            <v>1.4166666666666667</v>
          </cell>
          <cell r="F20">
            <v>1.4778590543187062</v>
          </cell>
        </row>
        <row r="21">
          <cell r="D21">
            <v>1.5</v>
          </cell>
          <cell r="F21">
            <v>1.5646011396116264</v>
          </cell>
        </row>
        <row r="22">
          <cell r="D22">
            <v>1.5833333333333335</v>
          </cell>
          <cell r="F22">
            <v>1.6512903495508839</v>
          </cell>
        </row>
        <row r="23">
          <cell r="D23">
            <v>1.6666666666666665</v>
          </cell>
          <cell r="F23">
            <v>1.737914152670748</v>
          </cell>
        </row>
        <row r="24">
          <cell r="D24">
            <v>1.75</v>
          </cell>
          <cell r="F24">
            <v>1.8244561579596357</v>
          </cell>
        </row>
        <row r="25">
          <cell r="D25">
            <v>1.8333333333333335</v>
          </cell>
          <cell r="F25">
            <v>1.9108946346162505</v>
          </cell>
        </row>
        <row r="26">
          <cell r="D26">
            <v>1.9166666666666665</v>
          </cell>
          <cell r="F26">
            <v>1.9972003470331139</v>
          </cell>
        </row>
        <row r="27">
          <cell r="D27">
            <v>2</v>
          </cell>
          <cell r="F27">
            <v>2.0833333333333277</v>
          </cell>
        </row>
        <row r="28">
          <cell r="D28">
            <v>2.0833333333333335</v>
          </cell>
          <cell r="F28">
            <v>2.1692380258965516</v>
          </cell>
        </row>
        <row r="29">
          <cell r="D29">
            <v>2.1666666666666665</v>
          </cell>
          <cell r="F29">
            <v>2.2548357266705956</v>
          </cell>
        </row>
        <row r="30">
          <cell r="D30">
            <v>2.25</v>
          </cell>
          <cell r="F30">
            <v>2.3400128013357779</v>
          </cell>
        </row>
        <row r="31">
          <cell r="D31">
            <v>2.3333333333333335</v>
          </cell>
          <cell r="F31">
            <v>2.4246018770975648</v>
          </cell>
        </row>
        <row r="32">
          <cell r="D32">
            <v>2.4166666666666665</v>
          </cell>
          <cell r="F32">
            <v>2.5083516038226517</v>
          </cell>
        </row>
        <row r="33">
          <cell r="D33">
            <v>2.5</v>
          </cell>
          <cell r="F33">
            <v>2.590878069284539</v>
          </cell>
        </row>
        <row r="34">
          <cell r="D34">
            <v>2.5833333333333335</v>
          </cell>
          <cell r="F34">
            <v>2.6715884939621453</v>
          </cell>
        </row>
        <row r="35">
          <cell r="D35">
            <v>2.6666666666666665</v>
          </cell>
          <cell r="F35">
            <v>2.7495693569891584</v>
          </cell>
        </row>
        <row r="36">
          <cell r="D36">
            <v>2.75</v>
          </cell>
          <cell r="F36">
            <v>2.8234496120618569</v>
          </cell>
        </row>
        <row r="37">
          <cell r="D37">
            <v>2.8333333333333335</v>
          </cell>
          <cell r="F37">
            <v>2.89131265199812</v>
          </cell>
        </row>
        <row r="38">
          <cell r="D38">
            <v>2.9166666666666665</v>
          </cell>
          <cell r="F38">
            <v>2.9508510955334493</v>
          </cell>
        </row>
        <row r="39">
          <cell r="D39">
            <v>3</v>
          </cell>
          <cell r="F39">
            <v>3</v>
          </cell>
        </row>
        <row r="40">
          <cell r="D40">
            <v>3.0833333333333335</v>
          </cell>
          <cell r="F40">
            <v>3.0379026566307985</v>
          </cell>
        </row>
        <row r="41">
          <cell r="D41">
            <v>3.1666666666666665</v>
          </cell>
          <cell r="F41">
            <v>3.0654157741928185</v>
          </cell>
        </row>
        <row r="42">
          <cell r="D42">
            <v>3.25</v>
          </cell>
          <cell r="F42">
            <v>3.0846042953539041</v>
          </cell>
        </row>
        <row r="43">
          <cell r="D43">
            <v>3.3333333333333335</v>
          </cell>
          <cell r="F43">
            <v>3.0977756013785553</v>
          </cell>
        </row>
        <row r="44">
          <cell r="D44">
            <v>3.4166666666666665</v>
          </cell>
          <cell r="F44">
            <v>3.1068462994488915</v>
          </cell>
        </row>
        <row r="45">
          <cell r="D45">
            <v>3.5</v>
          </cell>
          <cell r="F45">
            <v>3.113187435868634</v>
          </cell>
        </row>
        <row r="46">
          <cell r="D46">
            <v>3.5833333333333335</v>
          </cell>
          <cell r="F46">
            <v>3.1177125315040963</v>
          </cell>
        </row>
        <row r="47">
          <cell r="D47">
            <v>3.6666666666666665</v>
          </cell>
          <cell r="F47">
            <v>3.1210143658763583</v>
          </cell>
        </row>
        <row r="48">
          <cell r="D48">
            <v>3.75</v>
          </cell>
          <cell r="F48">
            <v>3.1234768512119206</v>
          </cell>
        </row>
        <row r="49">
          <cell r="D49">
            <v>3.8333333333333335</v>
          </cell>
          <cell r="F49">
            <v>3.125351337644088</v>
          </cell>
        </row>
        <row r="50">
          <cell r="D50">
            <v>3.9166666666666665</v>
          </cell>
          <cell r="F50">
            <v>3.1268051979673932</v>
          </cell>
        </row>
        <row r="51">
          <cell r="D51">
            <v>4</v>
          </cell>
          <cell r="F51">
            <v>3.1279520665015181</v>
          </cell>
        </row>
        <row r="52">
          <cell r="D52">
            <v>4.083333333333333</v>
          </cell>
          <cell r="F52">
            <v>3.1288706412986538</v>
          </cell>
        </row>
        <row r="53">
          <cell r="D53">
            <v>4.166666666666667</v>
          </cell>
          <cell r="F53">
            <v>3.1296164899791394</v>
          </cell>
        </row>
        <row r="54">
          <cell r="D54">
            <v>4.25</v>
          </cell>
          <cell r="F54">
            <v>3.1302295744198738</v>
          </cell>
        </row>
        <row r="55">
          <cell r="D55">
            <v>4.333333333333333</v>
          </cell>
          <cell r="F55">
            <v>3.1307391302283358</v>
          </cell>
        </row>
        <row r="56">
          <cell r="D56">
            <v>4.416666666666667</v>
          </cell>
          <cell r="F56">
            <v>3.1311668882058203</v>
          </cell>
        </row>
        <row r="57">
          <cell r="D57">
            <v>4.5</v>
          </cell>
          <cell r="F57">
            <v>3.1315292393639123</v>
          </cell>
        </row>
        <row r="58">
          <cell r="D58">
            <v>4.583333333333333</v>
          </cell>
          <cell r="F58">
            <v>3.1318387151683416</v>
          </cell>
        </row>
        <row r="59">
          <cell r="D59">
            <v>4.666666666666667</v>
          </cell>
          <cell r="F59">
            <v>3.1321050162854154</v>
          </cell>
        </row>
        <row r="60">
          <cell r="D60">
            <v>4.75</v>
          </cell>
          <cell r="F60">
            <v>3.1323357386620301</v>
          </cell>
        </row>
        <row r="61">
          <cell r="D61">
            <v>4.833333333333333</v>
          </cell>
          <cell r="F61">
            <v>3.1325368934627318</v>
          </cell>
        </row>
        <row r="62">
          <cell r="D62">
            <v>4.916666666666667</v>
          </cell>
          <cell r="F62">
            <v>3.1327132844726004</v>
          </cell>
        </row>
        <row r="63">
          <cell r="D63">
            <v>5</v>
          </cell>
          <cell r="F63">
            <v>3.1328687855341295</v>
          </cell>
        </row>
        <row r="64">
          <cell r="D64">
            <v>5.083333333333333</v>
          </cell>
          <cell r="F64">
            <v>3.1330065469270134</v>
          </cell>
        </row>
        <row r="65">
          <cell r="D65">
            <v>5.166666666666667</v>
          </cell>
          <cell r="F65">
            <v>3.1331291505991299</v>
          </cell>
        </row>
        <row r="66">
          <cell r="D66">
            <v>5.25</v>
          </cell>
          <cell r="F66">
            <v>3.1332387281407406</v>
          </cell>
        </row>
        <row r="67">
          <cell r="D67">
            <v>5.333333333333333</v>
          </cell>
          <cell r="F67">
            <v>3.1333370513173784</v>
          </cell>
        </row>
        <row r="68">
          <cell r="D68">
            <v>5.416666666666667</v>
          </cell>
          <cell r="F68">
            <v>3.1334256021785847</v>
          </cell>
        </row>
        <row r="69">
          <cell r="D69">
            <v>5.5</v>
          </cell>
          <cell r="F69">
            <v>3.1335056278151483</v>
          </cell>
        </row>
        <row r="70">
          <cell r="D70">
            <v>5.583333333333333</v>
          </cell>
          <cell r="F70">
            <v>3.1335781834703846</v>
          </cell>
        </row>
        <row r="71">
          <cell r="D71">
            <v>5.666666666666667</v>
          </cell>
          <cell r="F71">
            <v>3.1336441667392267</v>
          </cell>
        </row>
        <row r="72">
          <cell r="D72">
            <v>5.75</v>
          </cell>
          <cell r="F72">
            <v>3.1337043448908948</v>
          </cell>
        </row>
        <row r="73">
          <cell r="D73">
            <v>5.833333333333333</v>
          </cell>
          <cell r="F73">
            <v>3.1337593768445657</v>
          </cell>
        </row>
        <row r="74">
          <cell r="D74">
            <v>5.916666666666667</v>
          </cell>
          <cell r="F74">
            <v>3.1338098309566722</v>
          </cell>
        </row>
        <row r="75">
          <cell r="D75">
            <v>6</v>
          </cell>
          <cell r="F75">
            <v>3.1338561995045722</v>
          </cell>
        </row>
        <row r="76">
          <cell r="D76">
            <v>7</v>
          </cell>
          <cell r="F76">
            <v>3.1342080830639274</v>
          </cell>
        </row>
        <row r="77">
          <cell r="D77">
            <v>8</v>
          </cell>
          <cell r="F77">
            <v>3.1343720857188142</v>
          </cell>
        </row>
        <row r="78">
          <cell r="D78">
            <v>9</v>
          </cell>
          <cell r="F78">
            <v>3.1344614764343408</v>
          </cell>
        </row>
        <row r="79">
          <cell r="D79">
            <v>10</v>
          </cell>
          <cell r="F79">
            <v>3.1345154797599646</v>
          </cell>
        </row>
        <row r="80">
          <cell r="D80">
            <v>11</v>
          </cell>
          <cell r="F80">
            <v>3.1345505718003901</v>
          </cell>
        </row>
        <row r="81">
          <cell r="D81">
            <v>12</v>
          </cell>
          <cell r="F81">
            <v>3.1345746498368321</v>
          </cell>
        </row>
        <row r="82">
          <cell r="D82">
            <v>13</v>
          </cell>
          <cell r="F82">
            <v>3.1345918822325411</v>
          </cell>
        </row>
        <row r="83">
          <cell r="D83">
            <v>14</v>
          </cell>
          <cell r="F83">
            <v>3.1346046373703387</v>
          </cell>
        </row>
        <row r="84">
          <cell r="D84">
            <v>15</v>
          </cell>
          <cell r="F84">
            <v>3.13461434161254</v>
          </cell>
        </row>
        <row r="85">
          <cell r="D85">
            <v>16</v>
          </cell>
          <cell r="F85">
            <v>3.1346218955377236</v>
          </cell>
        </row>
        <row r="86">
          <cell r="D86">
            <v>17</v>
          </cell>
          <cell r="F86">
            <v>3.1346278904319687</v>
          </cell>
        </row>
        <row r="87">
          <cell r="D87">
            <v>18</v>
          </cell>
          <cell r="F87">
            <v>3.134632727507173</v>
          </cell>
        </row>
        <row r="88">
          <cell r="D88">
            <v>19</v>
          </cell>
          <cell r="F88">
            <v>3.1346366867643596</v>
          </cell>
        </row>
        <row r="89">
          <cell r="D89">
            <v>20</v>
          </cell>
          <cell r="F89">
            <v>3.1346399684175004</v>
          </cell>
        </row>
        <row r="90">
          <cell r="D90">
            <v>21</v>
          </cell>
          <cell r="F90">
            <v>3.1346427186965178</v>
          </cell>
        </row>
        <row r="91">
          <cell r="D91">
            <v>22</v>
          </cell>
          <cell r="F91">
            <v>3.1346450464155513</v>
          </cell>
        </row>
        <row r="92">
          <cell r="D92">
            <v>23</v>
          </cell>
          <cell r="F92">
            <v>3.1346470338989612</v>
          </cell>
        </row>
        <row r="93">
          <cell r="D93">
            <v>24</v>
          </cell>
          <cell r="F93">
            <v>3.1346487443586479</v>
          </cell>
        </row>
        <row r="94">
          <cell r="D94">
            <v>25</v>
          </cell>
          <cell r="F94">
            <v>3.134650226981226</v>
          </cell>
        </row>
        <row r="95">
          <cell r="D95">
            <v>26</v>
          </cell>
          <cell r="F95">
            <v>3.1346515205028762</v>
          </cell>
        </row>
        <row r="96">
          <cell r="D96">
            <v>27</v>
          </cell>
          <cell r="F96">
            <v>3.1346526557646754</v>
          </cell>
        </row>
        <row r="97">
          <cell r="D97">
            <v>28</v>
          </cell>
          <cell r="F97">
            <v>3.1346536575676267</v>
          </cell>
        </row>
        <row r="98">
          <cell r="D98">
            <v>29</v>
          </cell>
          <cell r="F98">
            <v>3.1346545460384383</v>
          </cell>
        </row>
        <row r="99">
          <cell r="D99">
            <v>30</v>
          </cell>
          <cell r="F99">
            <v>3.1346553376481285</v>
          </cell>
        </row>
        <row r="100">
          <cell r="D100">
            <v>35</v>
          </cell>
          <cell r="F100">
            <v>3.1346582465258712</v>
          </cell>
        </row>
        <row r="101">
          <cell r="D101">
            <v>40</v>
          </cell>
          <cell r="F101">
            <v>3.1346600581747595</v>
          </cell>
        </row>
        <row r="102">
          <cell r="D102">
            <v>45</v>
          </cell>
          <cell r="F102">
            <v>3.1346612622979344</v>
          </cell>
        </row>
        <row r="103">
          <cell r="D103">
            <v>50</v>
          </cell>
          <cell r="F103">
            <v>3.1346621030219146</v>
          </cell>
        </row>
        <row r="104">
          <cell r="D104">
            <v>55</v>
          </cell>
          <cell r="F104">
            <v>3.1346627131189799</v>
          </cell>
        </row>
        <row r="105">
          <cell r="D105">
            <v>60</v>
          </cell>
          <cell r="F105">
            <v>3.134663169830997</v>
          </cell>
        </row>
        <row r="106">
          <cell r="D106">
            <v>65</v>
          </cell>
          <cell r="F106">
            <v>3.1346635205755176</v>
          </cell>
        </row>
        <row r="107">
          <cell r="D107">
            <v>70</v>
          </cell>
          <cell r="F107">
            <v>3.1346637957685202</v>
          </cell>
        </row>
        <row r="108">
          <cell r="D108">
            <v>75</v>
          </cell>
          <cell r="F108">
            <v>3.1346640156475116</v>
          </cell>
        </row>
        <row r="109">
          <cell r="D109">
            <v>80</v>
          </cell>
          <cell r="F109">
            <v>3.1346641941012559</v>
          </cell>
        </row>
        <row r="110">
          <cell r="D110">
            <v>85</v>
          </cell>
          <cell r="F110">
            <v>3.1346643409180381</v>
          </cell>
        </row>
        <row r="111">
          <cell r="D111">
            <v>90</v>
          </cell>
          <cell r="F111">
            <v>3.1346644631570424</v>
          </cell>
        </row>
        <row r="112">
          <cell r="D112">
            <v>95</v>
          </cell>
          <cell r="F112">
            <v>3.134664566012999</v>
          </cell>
        </row>
        <row r="113">
          <cell r="D113">
            <v>100</v>
          </cell>
          <cell r="F113">
            <v>3.1346646533773761</v>
          </cell>
        </row>
        <row r="114">
          <cell r="D114">
            <v>105</v>
          </cell>
          <cell r="F114">
            <v>3.1346647282118894</v>
          </cell>
        </row>
        <row r="115">
          <cell r="D115">
            <v>110</v>
          </cell>
          <cell r="F115">
            <v>3.1346647928028686</v>
          </cell>
        </row>
        <row r="116">
          <cell r="D116">
            <v>115</v>
          </cell>
          <cell r="F116">
            <v>3.1346648489379829</v>
          </cell>
        </row>
        <row r="117">
          <cell r="D117">
            <v>120</v>
          </cell>
          <cell r="F117">
            <v>3.134664898031319</v>
          </cell>
        </row>
      </sheetData>
      <sheetData sheetId="3">
        <row r="3">
          <cell r="D3">
            <v>0</v>
          </cell>
        </row>
      </sheetData>
      <sheetData sheetId="4" refreshError="1"/>
      <sheetData sheetId="5" refreshError="1">
        <row r="3">
          <cell r="D3">
            <v>0</v>
          </cell>
          <cell r="F3">
            <v>0</v>
          </cell>
        </row>
        <row r="4">
          <cell r="D4">
            <v>8.3333333333333329E-2</v>
          </cell>
          <cell r="F4">
            <v>9.9776970356995065E-2</v>
          </cell>
        </row>
        <row r="5">
          <cell r="D5">
            <v>0.16666666666666666</v>
          </cell>
          <cell r="F5">
            <v>0.19915746692355363</v>
          </cell>
        </row>
        <row r="6">
          <cell r="D6">
            <v>0.25</v>
          </cell>
          <cell r="F6">
            <v>0.29811400155536072</v>
          </cell>
        </row>
        <row r="7">
          <cell r="D7">
            <v>0.33333333333333331</v>
          </cell>
          <cell r="F7">
            <v>0.39661705366389466</v>
          </cell>
        </row>
        <row r="8">
          <cell r="D8">
            <v>0.41666666666666669</v>
          </cell>
          <cell r="F8">
            <v>0.49463493615681298</v>
          </cell>
        </row>
        <row r="9">
          <cell r="D9">
            <v>0.5</v>
          </cell>
          <cell r="F9">
            <v>0.5921336584688448</v>
          </cell>
        </row>
        <row r="10">
          <cell r="D10">
            <v>0.58333333333333337</v>
          </cell>
          <cell r="F10">
            <v>0.68907678823686513</v>
          </cell>
        </row>
        <row r="11">
          <cell r="D11">
            <v>0.66666666666666663</v>
          </cell>
          <cell r="F11">
            <v>0.78542531361922219</v>
          </cell>
        </row>
        <row r="12">
          <cell r="D12">
            <v>0.75</v>
          </cell>
          <cell r="F12">
            <v>0.8811375087777038</v>
          </cell>
        </row>
        <row r="13">
          <cell r="D13">
            <v>0.83333333333333337</v>
          </cell>
          <cell r="F13">
            <v>0.97616880563324626</v>
          </cell>
        </row>
        <row r="14">
          <cell r="D14">
            <v>0.91666666666666663</v>
          </cell>
          <cell r="F14">
            <v>1.0704716756727959</v>
          </cell>
        </row>
        <row r="15">
          <cell r="D15">
            <v>1</v>
          </cell>
          <cell r="F15">
            <v>1.1639955263188662</v>
          </cell>
        </row>
        <row r="16">
          <cell r="D16">
            <v>1.0833333333333333</v>
          </cell>
          <cell r="F16">
            <v>1.2566866171632984</v>
          </cell>
        </row>
        <row r="17">
          <cell r="D17">
            <v>1.1666666666666667</v>
          </cell>
          <cell r="F17">
            <v>1.348488002192002</v>
          </cell>
        </row>
        <row r="18">
          <cell r="D18">
            <v>1.25</v>
          </cell>
          <cell r="F18">
            <v>1.4393395049569584</v>
          </cell>
        </row>
        <row r="19">
          <cell r="D19">
            <v>1.3333333333333333</v>
          </cell>
          <cell r="F19">
            <v>1.529177734442043</v>
          </cell>
        </row>
        <row r="20">
          <cell r="D20">
            <v>1.4166666666666667</v>
          </cell>
          <cell r="F20">
            <v>1.6179361500622855</v>
          </cell>
        </row>
        <row r="21">
          <cell r="D21">
            <v>1.5</v>
          </cell>
          <cell r="F21">
            <v>1.7055451847588752</v>
          </cell>
        </row>
        <row r="22">
          <cell r="D22">
            <v>1.5833333333333335</v>
          </cell>
          <cell r="F22">
            <v>1.7919324354158852</v>
          </cell>
        </row>
        <row r="23">
          <cell r="D23">
            <v>1.6666666666666665</v>
          </cell>
          <cell r="F23">
            <v>1.8770229297275149</v>
          </cell>
        </row>
        <row r="24">
          <cell r="D24">
            <v>1.75</v>
          </cell>
          <cell r="F24">
            <v>1.9607394780756184</v>
          </cell>
        </row>
        <row r="25">
          <cell r="D25">
            <v>1.8333333333333335</v>
          </cell>
          <cell r="F25">
            <v>2.0430031178239352</v>
          </cell>
        </row>
        <row r="26">
          <cell r="D26">
            <v>1.9166666666666665</v>
          </cell>
          <cell r="F26">
            <v>2.1237336555945663</v>
          </cell>
        </row>
        <row r="27">
          <cell r="D27">
            <v>2</v>
          </cell>
          <cell r="F27">
            <v>2.202850310484489</v>
          </cell>
        </row>
        <row r="28">
          <cell r="D28">
            <v>2.0833333333333335</v>
          </cell>
          <cell r="F28">
            <v>2.2802724577671247</v>
          </cell>
        </row>
        <row r="29">
          <cell r="D29">
            <v>2.1666666666666665</v>
          </cell>
          <cell r="F29">
            <v>2.3559204684284341</v>
          </cell>
        </row>
        <row r="30">
          <cell r="D30">
            <v>2.25</v>
          </cell>
          <cell r="F30">
            <v>2.4297166350091963</v>
          </cell>
        </row>
        <row r="31">
          <cell r="D31">
            <v>2.3333333333333335</v>
          </cell>
          <cell r="F31">
            <v>2.5015861688584091</v>
          </cell>
        </row>
        <row r="32">
          <cell r="D32">
            <v>2.4166666666666665</v>
          </cell>
          <cell r="F32">
            <v>2.5714582483388844</v>
          </cell>
        </row>
        <row r="33">
          <cell r="D33">
            <v>2.5</v>
          </cell>
          <cell r="F33">
            <v>2.6392670921495429</v>
          </cell>
        </row>
        <row r="34">
          <cell r="D34">
            <v>2.5833333333333335</v>
          </cell>
          <cell r="F34">
            <v>2.7049530271953959</v>
          </cell>
        </row>
        <row r="35">
          <cell r="D35">
            <v>2.6666666666666665</v>
          </cell>
          <cell r="F35">
            <v>2.7684635168350882</v>
          </cell>
        </row>
        <row r="36">
          <cell r="D36">
            <v>2.75</v>
          </cell>
          <cell r="F36">
            <v>2.8297541133377693</v>
          </cell>
        </row>
        <row r="37">
          <cell r="D37">
            <v>2.8333333333333335</v>
          </cell>
          <cell r="F37">
            <v>2.8887892983760506</v>
          </cell>
        </row>
        <row r="38">
          <cell r="D38">
            <v>2.9166666666666665</v>
          </cell>
          <cell r="F38">
            <v>2.9455431776169823</v>
          </cell>
        </row>
        <row r="39">
          <cell r="D39">
            <v>3</v>
          </cell>
          <cell r="F39">
            <v>3</v>
          </cell>
        </row>
        <row r="40">
          <cell r="D40">
            <v>3.0833333333333335</v>
          </cell>
          <cell r="F40">
            <v>3.0521544789349178</v>
          </cell>
        </row>
        <row r="41">
          <cell r="D41">
            <v>3.1666666666666665</v>
          </cell>
          <cell r="F41">
            <v>3.1020119010119216</v>
          </cell>
        </row>
        <row r="42">
          <cell r="D42">
            <v>3.25</v>
          </cell>
          <cell r="F42">
            <v>3.1495880172915762</v>
          </cell>
        </row>
        <row r="43">
          <cell r="D43">
            <v>3.3333333333333335</v>
          </cell>
          <cell r="F43">
            <v>3.1949087221068302</v>
          </cell>
        </row>
        <row r="44">
          <cell r="D44">
            <v>3.4166666666666665</v>
          </cell>
          <cell r="F44">
            <v>3.2380095337850729</v>
          </cell>
        </row>
        <row r="45">
          <cell r="D45">
            <v>3.5</v>
          </cell>
          <cell r="F45">
            <v>3.2789349000571564</v>
          </cell>
        </row>
        <row r="46">
          <cell r="D46">
            <v>3.5833333333333335</v>
          </cell>
          <cell r="F46">
            <v>3.3177373575644333</v>
          </cell>
        </row>
        <row r="47">
          <cell r="D47">
            <v>3.6666666666666665</v>
          </cell>
          <cell r="F47">
            <v>3.3544765794018936</v>
          </cell>
        </row>
        <row r="48">
          <cell r="D48">
            <v>3.75</v>
          </cell>
          <cell r="F48">
            <v>3.3892183468706163</v>
          </cell>
        </row>
        <row r="49">
          <cell r="D49">
            <v>3.8333333333333335</v>
          </cell>
          <cell r="F49">
            <v>3.42203348160779</v>
          </cell>
        </row>
        <row r="50">
          <cell r="D50">
            <v>3.9166666666666665</v>
          </cell>
          <cell r="F50">
            <v>3.4529967722644157</v>
          </cell>
        </row>
        <row r="51">
          <cell r="D51">
            <v>4</v>
          </cell>
          <cell r="F51">
            <v>3.4821859262997155</v>
          </cell>
        </row>
        <row r="52">
          <cell r="D52">
            <v>4.083333333333333</v>
          </cell>
          <cell r="F52">
            <v>3.5096805727277287</v>
          </cell>
        </row>
        <row r="53">
          <cell r="D53">
            <v>4.166666666666667</v>
          </cell>
          <cell r="F53">
            <v>3.5355613362750322</v>
          </cell>
        </row>
        <row r="54">
          <cell r="D54">
            <v>4.25</v>
          </cell>
          <cell r="F54">
            <v>3.5599089978446514</v>
          </cell>
        </row>
        <row r="55">
          <cell r="D55">
            <v>4.333333333333333</v>
          </cell>
          <cell r="F55">
            <v>3.5828037508144837</v>
          </cell>
        </row>
        <row r="56">
          <cell r="D56">
            <v>4.416666666666667</v>
          </cell>
          <cell r="F56">
            <v>3.6043245578207892</v>
          </cell>
        </row>
        <row r="57">
          <cell r="D57">
            <v>4.5</v>
          </cell>
          <cell r="F57">
            <v>3.6245486084817147</v>
          </cell>
        </row>
        <row r="58">
          <cell r="D58">
            <v>4.583333333333333</v>
          </cell>
          <cell r="F58">
            <v>3.6435508751030605</v>
          </cell>
        </row>
        <row r="59">
          <cell r="D59">
            <v>4.666666666666667</v>
          </cell>
          <cell r="F59">
            <v>3.6614037608007539</v>
          </cell>
        </row>
        <row r="60">
          <cell r="D60">
            <v>4.75</v>
          </cell>
          <cell r="F60">
            <v>3.6781768326336048</v>
          </cell>
        </row>
        <row r="61">
          <cell r="D61">
            <v>4.833333333333333</v>
          </cell>
          <cell r="F61">
            <v>3.6939366311865838</v>
          </cell>
        </row>
        <row r="62">
          <cell r="D62">
            <v>4.916666666666667</v>
          </cell>
          <cell r="F62">
            <v>3.7087465474758163</v>
          </cell>
        </row>
        <row r="63">
          <cell r="D63">
            <v>5</v>
          </cell>
          <cell r="F63">
            <v>3.7226667579493191</v>
          </cell>
        </row>
        <row r="64">
          <cell r="D64">
            <v>5.083333333333333</v>
          </cell>
          <cell r="F64">
            <v>3.7357542086211843</v>
          </cell>
        </row>
        <row r="65">
          <cell r="D65">
            <v>5.166666666666667</v>
          </cell>
          <cell r="F65">
            <v>3.7480626398995702</v>
          </cell>
        </row>
        <row r="66">
          <cell r="D66">
            <v>5.25</v>
          </cell>
          <cell r="F66">
            <v>3.7596426443619637</v>
          </cell>
        </row>
        <row r="67">
          <cell r="D67">
            <v>5.333333333333333</v>
          </cell>
          <cell r="F67">
            <v>3.7705417505214172</v>
          </cell>
        </row>
        <row r="68">
          <cell r="D68">
            <v>5.416666666666667</v>
          </cell>
          <cell r="F68">
            <v>3.7808045264569952</v>
          </cell>
        </row>
        <row r="69">
          <cell r="D69">
            <v>5.5</v>
          </cell>
          <cell r="F69">
            <v>3.7904726980069108</v>
          </cell>
        </row>
        <row r="70">
          <cell r="D70">
            <v>5.583333333333333</v>
          </cell>
          <cell r="F70">
            <v>3.7995852770128149</v>
          </cell>
        </row>
        <row r="71">
          <cell r="D71">
            <v>5.666666666666667</v>
          </cell>
          <cell r="F71">
            <v>3.8081786958378316</v>
          </cell>
        </row>
        <row r="72">
          <cell r="D72">
            <v>5.75</v>
          </cell>
          <cell r="F72">
            <v>3.8162869450472332</v>
          </cell>
        </row>
        <row r="73">
          <cell r="D73">
            <v>5.833333333333333</v>
          </cell>
          <cell r="F73">
            <v>3.8239417117333621</v>
          </cell>
        </row>
        <row r="74">
          <cell r="D74">
            <v>5.916666666666667</v>
          </cell>
          <cell r="F74">
            <v>3.831172516484739</v>
          </cell>
        </row>
        <row r="75">
          <cell r="D75">
            <v>6</v>
          </cell>
          <cell r="F75">
            <v>3.8380068474456799</v>
          </cell>
        </row>
        <row r="76">
          <cell r="D76">
            <v>7</v>
          </cell>
          <cell r="F76">
            <v>3.8968489565241957</v>
          </cell>
        </row>
        <row r="77">
          <cell r="D77">
            <v>8</v>
          </cell>
          <cell r="F77">
            <v>3.929543328922517</v>
          </cell>
        </row>
        <row r="78">
          <cell r="D78">
            <v>9</v>
          </cell>
          <cell r="F78">
            <v>3.9491820948058294</v>
          </cell>
        </row>
        <row r="79">
          <cell r="D79">
            <v>10</v>
          </cell>
          <cell r="F79">
            <v>3.9617642227544181</v>
          </cell>
        </row>
        <row r="80">
          <cell r="D80">
            <v>11</v>
          </cell>
          <cell r="F80">
            <v>3.9702569571704434</v>
          </cell>
        </row>
        <row r="81">
          <cell r="D81">
            <v>12</v>
          </cell>
          <cell r="F81">
            <v>3.9762371536765864</v>
          </cell>
        </row>
        <row r="82">
          <cell r="D82">
            <v>13</v>
          </cell>
          <cell r="F82">
            <v>3.9805967153549124</v>
          </cell>
        </row>
        <row r="83">
          <cell r="D83">
            <v>14</v>
          </cell>
          <cell r="F83">
            <v>3.9838676218614841</v>
          </cell>
        </row>
        <row r="84">
          <cell r="D84">
            <v>15</v>
          </cell>
          <cell r="F84">
            <v>3.9863817986879959</v>
          </cell>
        </row>
        <row r="85">
          <cell r="D85">
            <v>16</v>
          </cell>
          <cell r="F85">
            <v>3.988354460550092</v>
          </cell>
        </row>
        <row r="86">
          <cell r="D86">
            <v>17</v>
          </cell>
          <cell r="F86">
            <v>3.9899298295480481</v>
          </cell>
        </row>
        <row r="87">
          <cell r="D87">
            <v>18</v>
          </cell>
          <cell r="F87">
            <v>3.9912073527673373</v>
          </cell>
        </row>
        <row r="88">
          <cell r="D88">
            <v>19</v>
          </cell>
          <cell r="F88">
            <v>3.9922573321684158</v>
          </cell>
        </row>
        <row r="89">
          <cell r="D89">
            <v>20</v>
          </cell>
          <cell r="F89">
            <v>3.9931305655724847</v>
          </cell>
        </row>
        <row r="90">
          <cell r="D90">
            <v>21</v>
          </cell>
          <cell r="F90">
            <v>3.9938644751564798</v>
          </cell>
        </row>
        <row r="91">
          <cell r="D91">
            <v>22</v>
          </cell>
          <cell r="F91">
            <v>3.9944871086079932</v>
          </cell>
        </row>
        <row r="92">
          <cell r="D92">
            <v>23</v>
          </cell>
          <cell r="F92">
            <v>3.9950198144076792</v>
          </cell>
        </row>
        <row r="93">
          <cell r="D93">
            <v>24</v>
          </cell>
          <cell r="F93">
            <v>3.9954790692669371</v>
          </cell>
        </row>
        <row r="94">
          <cell r="D94">
            <v>25</v>
          </cell>
          <cell r="F94">
            <v>3.9958777507239756</v>
          </cell>
        </row>
        <row r="95">
          <cell r="D95">
            <v>26</v>
          </cell>
          <cell r="F95">
            <v>3.996226038973778</v>
          </cell>
        </row>
        <row r="96">
          <cell r="D96">
            <v>27</v>
          </cell>
          <cell r="F96">
            <v>3.9965320661893418</v>
          </cell>
        </row>
        <row r="97">
          <cell r="D97">
            <v>28</v>
          </cell>
          <cell r="F97">
            <v>3.9968023908697035</v>
          </cell>
        </row>
        <row r="98">
          <cell r="D98">
            <v>29</v>
          </cell>
          <cell r="F98">
            <v>3.9970423490055187</v>
          </cell>
        </row>
        <row r="99">
          <cell r="D99">
            <v>30</v>
          </cell>
          <cell r="F99">
            <v>3.9972563172518192</v>
          </cell>
        </row>
        <row r="100">
          <cell r="D100">
            <v>35</v>
          </cell>
          <cell r="F100">
            <v>3.9980439551585913</v>
          </cell>
        </row>
        <row r="101">
          <cell r="D101">
            <v>40</v>
          </cell>
          <cell r="F101">
            <v>3.9985355977493651</v>
          </cell>
        </row>
        <row r="102">
          <cell r="D102">
            <v>45</v>
          </cell>
          <cell r="F102">
            <v>3.9988628403273161</v>
          </cell>
        </row>
        <row r="103">
          <cell r="D103">
            <v>50</v>
          </cell>
          <cell r="F103">
            <v>3.9990915452220164</v>
          </cell>
        </row>
        <row r="104">
          <cell r="D104">
            <v>55</v>
          </cell>
          <cell r="F104">
            <v>3.9992576267701958</v>
          </cell>
        </row>
        <row r="105">
          <cell r="D105">
            <v>60</v>
          </cell>
          <cell r="F105">
            <v>3.9993820168935068</v>
          </cell>
        </row>
        <row r="106">
          <cell r="D106">
            <v>65</v>
          </cell>
          <cell r="F106">
            <v>3.99947758251772</v>
          </cell>
        </row>
        <row r="107">
          <cell r="D107">
            <v>70</v>
          </cell>
          <cell r="F107">
            <v>3.9995525853993739</v>
          </cell>
        </row>
        <row r="108">
          <cell r="D108">
            <v>75</v>
          </cell>
          <cell r="F108">
            <v>3.999612526809146</v>
          </cell>
        </row>
        <row r="109">
          <cell r="D109">
            <v>80</v>
          </cell>
          <cell r="F109">
            <v>3.9996611845002787</v>
          </cell>
        </row>
        <row r="110">
          <cell r="D110">
            <v>85</v>
          </cell>
          <cell r="F110">
            <v>3.9997012221887034</v>
          </cell>
        </row>
        <row r="111">
          <cell r="D111">
            <v>90</v>
          </cell>
          <cell r="F111">
            <v>3.9997345616743667</v>
          </cell>
        </row>
        <row r="112">
          <cell r="D112">
            <v>95</v>
          </cell>
          <cell r="F112">
            <v>3.9997626176436039</v>
          </cell>
        </row>
        <row r="113">
          <cell r="D113">
            <v>100</v>
          </cell>
          <cell r="F113">
            <v>3.9997864501466269</v>
          </cell>
        </row>
        <row r="114">
          <cell r="D114">
            <v>105</v>
          </cell>
          <cell r="F114">
            <v>3.9998068661550579</v>
          </cell>
        </row>
        <row r="115">
          <cell r="D115">
            <v>110</v>
          </cell>
          <cell r="F115">
            <v>3.9998244887435348</v>
          </cell>
        </row>
        <row r="116">
          <cell r="D116">
            <v>115</v>
          </cell>
          <cell r="F116">
            <v>3.9998398051745689</v>
          </cell>
        </row>
        <row r="117">
          <cell r="D117">
            <v>120</v>
          </cell>
          <cell r="F117">
            <v>3.9998532009305223</v>
          </cell>
        </row>
      </sheetData>
      <sheetData sheetId="6" refreshError="1">
        <row r="3">
          <cell r="D3">
            <v>0</v>
          </cell>
          <cell r="F3">
            <v>0</v>
          </cell>
        </row>
        <row r="4">
          <cell r="D4">
            <v>8.3333333333333329E-2</v>
          </cell>
          <cell r="F4">
            <v>8.3333334217527089E-2</v>
          </cell>
        </row>
        <row r="5">
          <cell r="D5">
            <v>0.16666666666666666</v>
          </cell>
          <cell r="F5">
            <v>0.16666666843505462</v>
          </cell>
        </row>
        <row r="6">
          <cell r="D6">
            <v>0.25</v>
          </cell>
          <cell r="F6">
            <v>0.25000000265258215</v>
          </cell>
        </row>
        <row r="7">
          <cell r="D7">
            <v>0.33333333333333331</v>
          </cell>
          <cell r="F7">
            <v>0.33333333687010969</v>
          </cell>
        </row>
        <row r="8">
          <cell r="D8">
            <v>0.41666666666666669</v>
          </cell>
          <cell r="F8">
            <v>0.41666667108763678</v>
          </cell>
        </row>
        <row r="9">
          <cell r="D9">
            <v>0.5</v>
          </cell>
          <cell r="F9">
            <v>0.50000000530516431</v>
          </cell>
        </row>
        <row r="10">
          <cell r="D10">
            <v>0.58333333333333337</v>
          </cell>
          <cell r="F10">
            <v>0.58333333952269184</v>
          </cell>
        </row>
        <row r="11">
          <cell r="D11">
            <v>0.66666666666666663</v>
          </cell>
          <cell r="F11">
            <v>0.66666667374021937</v>
          </cell>
        </row>
        <row r="12">
          <cell r="D12">
            <v>0.75</v>
          </cell>
          <cell r="F12">
            <v>0.75000000795774691</v>
          </cell>
        </row>
        <row r="13">
          <cell r="D13">
            <v>0.83333333333333337</v>
          </cell>
          <cell r="F13">
            <v>0.83333334217527444</v>
          </cell>
        </row>
        <row r="14">
          <cell r="D14">
            <v>0.91666666666666663</v>
          </cell>
          <cell r="F14">
            <v>0.91666667639280153</v>
          </cell>
        </row>
        <row r="15">
          <cell r="D15">
            <v>1</v>
          </cell>
          <cell r="F15">
            <v>1.0000000106103295</v>
          </cell>
        </row>
        <row r="16">
          <cell r="D16">
            <v>1.0833333333333333</v>
          </cell>
          <cell r="F16">
            <v>1.083333344827857</v>
          </cell>
        </row>
        <row r="17">
          <cell r="D17">
            <v>1.1666666666666667</v>
          </cell>
          <cell r="F17">
            <v>1.1666666790453843</v>
          </cell>
        </row>
        <row r="18">
          <cell r="D18">
            <v>1.25</v>
          </cell>
          <cell r="F18">
            <v>1.2500000132629119</v>
          </cell>
        </row>
        <row r="19">
          <cell r="D19">
            <v>1.3333333333333333</v>
          </cell>
          <cell r="F19">
            <v>1.3333333474804394</v>
          </cell>
        </row>
        <row r="20">
          <cell r="D20">
            <v>1.4166666666666667</v>
          </cell>
          <cell r="F20">
            <v>1.4166666816979667</v>
          </cell>
        </row>
        <row r="21">
          <cell r="D21">
            <v>1.5</v>
          </cell>
          <cell r="F21">
            <v>1.5000000159154943</v>
          </cell>
        </row>
        <row r="22">
          <cell r="D22">
            <v>1.5833333333333335</v>
          </cell>
          <cell r="F22">
            <v>1.583333350133022</v>
          </cell>
        </row>
        <row r="23">
          <cell r="D23">
            <v>1.6666666666666665</v>
          </cell>
          <cell r="F23">
            <v>1.6666666843505491</v>
          </cell>
        </row>
        <row r="24">
          <cell r="D24">
            <v>1.75</v>
          </cell>
          <cell r="F24">
            <v>1.7500000185680769</v>
          </cell>
        </row>
        <row r="25">
          <cell r="D25">
            <v>1.8333333333333335</v>
          </cell>
          <cell r="F25">
            <v>1.8333333527856044</v>
          </cell>
        </row>
        <row r="26">
          <cell r="D26">
            <v>1.9166666666666665</v>
          </cell>
          <cell r="F26">
            <v>1.9166666870031315</v>
          </cell>
        </row>
        <row r="27">
          <cell r="D27">
            <v>2</v>
          </cell>
          <cell r="F27">
            <v>2.000000021220659</v>
          </cell>
        </row>
        <row r="28">
          <cell r="D28">
            <v>2.0833333333333335</v>
          </cell>
          <cell r="F28">
            <v>2.083333355438187</v>
          </cell>
        </row>
        <row r="29">
          <cell r="D29">
            <v>2.1666666666666665</v>
          </cell>
          <cell r="F29">
            <v>2.1666666896557141</v>
          </cell>
        </row>
        <row r="30">
          <cell r="D30">
            <v>2.25</v>
          </cell>
          <cell r="F30">
            <v>2.2500000238732416</v>
          </cell>
        </row>
        <row r="31">
          <cell r="D31">
            <v>2.3333333333333335</v>
          </cell>
          <cell r="F31">
            <v>2.3333333580907691</v>
          </cell>
        </row>
        <row r="32">
          <cell r="D32">
            <v>2.4166666666666665</v>
          </cell>
          <cell r="F32">
            <v>2.4166666923082962</v>
          </cell>
        </row>
        <row r="33">
          <cell r="D33">
            <v>2.5</v>
          </cell>
          <cell r="F33">
            <v>2.5000000265258242</v>
          </cell>
        </row>
        <row r="34">
          <cell r="D34">
            <v>2.5833333333333335</v>
          </cell>
          <cell r="F34">
            <v>2.5833333607433517</v>
          </cell>
        </row>
        <row r="35">
          <cell r="D35">
            <v>2.6666666666666665</v>
          </cell>
          <cell r="F35">
            <v>2.6666666949608788</v>
          </cell>
        </row>
        <row r="36">
          <cell r="D36">
            <v>2.75</v>
          </cell>
          <cell r="F36">
            <v>2.7500000291784064</v>
          </cell>
        </row>
        <row r="37">
          <cell r="D37">
            <v>2.8333333333333335</v>
          </cell>
          <cell r="F37">
            <v>2.8333333633959343</v>
          </cell>
        </row>
        <row r="38">
          <cell r="D38">
            <v>2.9166666666666665</v>
          </cell>
          <cell r="F38">
            <v>2.9166666976134614</v>
          </cell>
        </row>
        <row r="39">
          <cell r="D39">
            <v>3</v>
          </cell>
          <cell r="F39">
            <v>3</v>
          </cell>
        </row>
        <row r="40">
          <cell r="D40">
            <v>3.0833333333333335</v>
          </cell>
          <cell r="F40">
            <v>3.000000031830989</v>
          </cell>
        </row>
        <row r="41">
          <cell r="D41">
            <v>3.1666666666666665</v>
          </cell>
          <cell r="F41">
            <v>3.000000031830989</v>
          </cell>
        </row>
        <row r="42">
          <cell r="D42">
            <v>3.25</v>
          </cell>
          <cell r="F42">
            <v>3.000000031830989</v>
          </cell>
        </row>
        <row r="43">
          <cell r="D43">
            <v>3.3333333333333335</v>
          </cell>
          <cell r="F43">
            <v>3.000000031830989</v>
          </cell>
        </row>
        <row r="44">
          <cell r="D44">
            <v>3.4166666666666665</v>
          </cell>
          <cell r="F44">
            <v>3.000000031830989</v>
          </cell>
        </row>
        <row r="45">
          <cell r="D45">
            <v>3.5</v>
          </cell>
          <cell r="F45">
            <v>3.000000031830989</v>
          </cell>
        </row>
        <row r="46">
          <cell r="D46">
            <v>3.5833333333333335</v>
          </cell>
          <cell r="F46">
            <v>3.000000031830989</v>
          </cell>
        </row>
        <row r="47">
          <cell r="D47">
            <v>3.6666666666666665</v>
          </cell>
          <cell r="F47">
            <v>3.000000031830989</v>
          </cell>
        </row>
        <row r="48">
          <cell r="D48">
            <v>3.75</v>
          </cell>
          <cell r="F48">
            <v>3.000000031830989</v>
          </cell>
        </row>
        <row r="49">
          <cell r="D49">
            <v>3.8333333333333335</v>
          </cell>
          <cell r="F49">
            <v>3.000000031830989</v>
          </cell>
        </row>
        <row r="50">
          <cell r="D50">
            <v>3.9166666666666665</v>
          </cell>
          <cell r="F50">
            <v>3.000000031830989</v>
          </cell>
        </row>
        <row r="51">
          <cell r="D51">
            <v>4</v>
          </cell>
          <cell r="F51">
            <v>3.000000031830989</v>
          </cell>
        </row>
        <row r="52">
          <cell r="D52">
            <v>4.083333333333333</v>
          </cell>
          <cell r="F52">
            <v>3.000000031830989</v>
          </cell>
        </row>
        <row r="53">
          <cell r="D53">
            <v>4.166666666666667</v>
          </cell>
          <cell r="F53">
            <v>3.000000031830989</v>
          </cell>
        </row>
        <row r="54">
          <cell r="D54">
            <v>4.25</v>
          </cell>
          <cell r="F54">
            <v>3.000000031830989</v>
          </cell>
        </row>
        <row r="55">
          <cell r="D55">
            <v>4.333333333333333</v>
          </cell>
          <cell r="F55">
            <v>3.000000031830989</v>
          </cell>
        </row>
        <row r="56">
          <cell r="D56">
            <v>4.416666666666667</v>
          </cell>
          <cell r="F56">
            <v>3.000000031830989</v>
          </cell>
        </row>
        <row r="57">
          <cell r="D57">
            <v>4.5</v>
          </cell>
          <cell r="F57">
            <v>3.000000031830989</v>
          </cell>
        </row>
        <row r="58">
          <cell r="D58">
            <v>4.583333333333333</v>
          </cell>
          <cell r="F58">
            <v>3.000000031830989</v>
          </cell>
        </row>
        <row r="59">
          <cell r="D59">
            <v>4.666666666666667</v>
          </cell>
          <cell r="F59">
            <v>3.000000031830989</v>
          </cell>
        </row>
        <row r="60">
          <cell r="D60">
            <v>4.75</v>
          </cell>
          <cell r="F60">
            <v>3.000000031830989</v>
          </cell>
        </row>
        <row r="61">
          <cell r="D61">
            <v>4.833333333333333</v>
          </cell>
          <cell r="F61">
            <v>3.000000031830989</v>
          </cell>
        </row>
        <row r="62">
          <cell r="D62">
            <v>4.916666666666667</v>
          </cell>
          <cell r="F62">
            <v>3.000000031830989</v>
          </cell>
        </row>
        <row r="63">
          <cell r="D63">
            <v>5</v>
          </cell>
          <cell r="F63">
            <v>3.000000031830989</v>
          </cell>
        </row>
        <row r="64">
          <cell r="D64">
            <v>5.083333333333333</v>
          </cell>
          <cell r="F64">
            <v>3.000000031830989</v>
          </cell>
        </row>
        <row r="65">
          <cell r="D65">
            <v>5.166666666666667</v>
          </cell>
          <cell r="F65">
            <v>3.000000031830989</v>
          </cell>
        </row>
        <row r="66">
          <cell r="D66">
            <v>5.25</v>
          </cell>
          <cell r="F66">
            <v>3.000000031830989</v>
          </cell>
        </row>
        <row r="67">
          <cell r="D67">
            <v>5.333333333333333</v>
          </cell>
          <cell r="F67">
            <v>3.000000031830989</v>
          </cell>
        </row>
        <row r="68">
          <cell r="D68">
            <v>5.416666666666667</v>
          </cell>
          <cell r="F68">
            <v>3.000000031830989</v>
          </cell>
        </row>
        <row r="69">
          <cell r="D69">
            <v>5.5</v>
          </cell>
          <cell r="F69">
            <v>3.000000031830989</v>
          </cell>
        </row>
        <row r="70">
          <cell r="D70">
            <v>5.583333333333333</v>
          </cell>
          <cell r="F70">
            <v>3.000000031830989</v>
          </cell>
        </row>
        <row r="71">
          <cell r="D71">
            <v>5.666666666666667</v>
          </cell>
          <cell r="F71">
            <v>3.000000031830989</v>
          </cell>
        </row>
        <row r="72">
          <cell r="D72">
            <v>5.75</v>
          </cell>
          <cell r="F72">
            <v>3.000000031830989</v>
          </cell>
        </row>
        <row r="73">
          <cell r="D73">
            <v>5.833333333333333</v>
          </cell>
          <cell r="F73">
            <v>3.000000031830989</v>
          </cell>
        </row>
        <row r="74">
          <cell r="D74">
            <v>5.916666666666667</v>
          </cell>
          <cell r="F74">
            <v>3.000000031830989</v>
          </cell>
        </row>
        <row r="75">
          <cell r="D75">
            <v>6</v>
          </cell>
          <cell r="F75">
            <v>3.000000031830989</v>
          </cell>
        </row>
        <row r="76">
          <cell r="D76">
            <v>7</v>
          </cell>
          <cell r="F76">
            <v>3.0000000318309885</v>
          </cell>
        </row>
        <row r="77">
          <cell r="D77">
            <v>8</v>
          </cell>
          <cell r="F77">
            <v>3.000000031830989</v>
          </cell>
        </row>
        <row r="78">
          <cell r="D78">
            <v>9</v>
          </cell>
          <cell r="F78">
            <v>3.000000031830989</v>
          </cell>
        </row>
        <row r="79">
          <cell r="D79">
            <v>10</v>
          </cell>
          <cell r="F79">
            <v>3.0000000318309885</v>
          </cell>
        </row>
        <row r="80">
          <cell r="D80">
            <v>11</v>
          </cell>
          <cell r="F80">
            <v>3.000000031830989</v>
          </cell>
        </row>
        <row r="81">
          <cell r="D81">
            <v>12</v>
          </cell>
          <cell r="F81">
            <v>3.0000000318309894</v>
          </cell>
        </row>
        <row r="82">
          <cell r="D82">
            <v>13</v>
          </cell>
          <cell r="F82">
            <v>3.000000031830989</v>
          </cell>
        </row>
        <row r="83">
          <cell r="D83">
            <v>14</v>
          </cell>
          <cell r="F83">
            <v>3.0000000318309894</v>
          </cell>
        </row>
        <row r="84">
          <cell r="D84">
            <v>15</v>
          </cell>
          <cell r="F84">
            <v>3.000000031830989</v>
          </cell>
        </row>
        <row r="85">
          <cell r="D85">
            <v>16</v>
          </cell>
          <cell r="F85">
            <v>3.000000031830989</v>
          </cell>
        </row>
        <row r="86">
          <cell r="D86">
            <v>17</v>
          </cell>
          <cell r="F86">
            <v>3.0000000318309885</v>
          </cell>
        </row>
        <row r="87">
          <cell r="D87">
            <v>18</v>
          </cell>
          <cell r="F87">
            <v>3.0000000318309881</v>
          </cell>
        </row>
        <row r="88">
          <cell r="D88">
            <v>19</v>
          </cell>
          <cell r="F88">
            <v>3.0000000318309881</v>
          </cell>
        </row>
        <row r="89">
          <cell r="D89">
            <v>20</v>
          </cell>
          <cell r="F89">
            <v>3.0000000318309885</v>
          </cell>
        </row>
        <row r="90">
          <cell r="D90">
            <v>21</v>
          </cell>
          <cell r="F90">
            <v>3.0000000318309894</v>
          </cell>
        </row>
        <row r="91">
          <cell r="D91">
            <v>22</v>
          </cell>
          <cell r="F91">
            <v>3.0000000318309885</v>
          </cell>
        </row>
        <row r="92">
          <cell r="D92">
            <v>23</v>
          </cell>
          <cell r="F92">
            <v>3.0000000318309881</v>
          </cell>
        </row>
        <row r="93">
          <cell r="D93">
            <v>24</v>
          </cell>
          <cell r="F93">
            <v>3.0000000318309876</v>
          </cell>
        </row>
        <row r="94">
          <cell r="D94">
            <v>25</v>
          </cell>
          <cell r="F94">
            <v>3.0000000318309881</v>
          </cell>
        </row>
        <row r="95">
          <cell r="D95">
            <v>26</v>
          </cell>
          <cell r="F95">
            <v>3.0000000318309885</v>
          </cell>
        </row>
        <row r="96">
          <cell r="D96">
            <v>27</v>
          </cell>
          <cell r="F96">
            <v>3.0000000318309876</v>
          </cell>
        </row>
        <row r="97">
          <cell r="D97">
            <v>28</v>
          </cell>
          <cell r="F97">
            <v>3.0000000318309881</v>
          </cell>
        </row>
        <row r="98">
          <cell r="D98">
            <v>29</v>
          </cell>
          <cell r="F98">
            <v>3.000000031830989</v>
          </cell>
        </row>
        <row r="99">
          <cell r="D99">
            <v>30</v>
          </cell>
          <cell r="F99">
            <v>3.0000000318309876</v>
          </cell>
        </row>
        <row r="100">
          <cell r="D100">
            <v>35</v>
          </cell>
          <cell r="F100">
            <v>3.0000000318309898</v>
          </cell>
        </row>
        <row r="101">
          <cell r="D101">
            <v>40</v>
          </cell>
          <cell r="F101">
            <v>3.0000000318309894</v>
          </cell>
        </row>
        <row r="102">
          <cell r="D102">
            <v>45</v>
          </cell>
          <cell r="F102">
            <v>3.0000000318309876</v>
          </cell>
        </row>
        <row r="103">
          <cell r="D103">
            <v>50</v>
          </cell>
          <cell r="F103">
            <v>3.0000000318309894</v>
          </cell>
        </row>
        <row r="104">
          <cell r="D104">
            <v>55</v>
          </cell>
          <cell r="F104">
            <v>3.0000000318309863</v>
          </cell>
        </row>
        <row r="105">
          <cell r="D105">
            <v>60</v>
          </cell>
          <cell r="F105">
            <v>3.0000000318309894</v>
          </cell>
        </row>
        <row r="106">
          <cell r="D106">
            <v>65</v>
          </cell>
          <cell r="F106">
            <v>3.0000000318309854</v>
          </cell>
        </row>
        <row r="107">
          <cell r="D107">
            <v>70</v>
          </cell>
          <cell r="F107">
            <v>3.0000000318309872</v>
          </cell>
        </row>
        <row r="108">
          <cell r="D108">
            <v>75</v>
          </cell>
          <cell r="F108">
            <v>3.0000000318309863</v>
          </cell>
        </row>
        <row r="109">
          <cell r="D109">
            <v>80</v>
          </cell>
          <cell r="F109">
            <v>3.0000000318309823</v>
          </cell>
        </row>
        <row r="110">
          <cell r="D110">
            <v>85</v>
          </cell>
          <cell r="F110">
            <v>3.0000000318309823</v>
          </cell>
        </row>
        <row r="111">
          <cell r="D111">
            <v>90</v>
          </cell>
          <cell r="F111">
            <v>3.000000031830985</v>
          </cell>
        </row>
        <row r="112">
          <cell r="D112">
            <v>95</v>
          </cell>
          <cell r="F112">
            <v>3.0000000318309898</v>
          </cell>
        </row>
        <row r="113">
          <cell r="D113">
            <v>100</v>
          </cell>
          <cell r="F113">
            <v>3.0000000318309872</v>
          </cell>
        </row>
        <row r="114">
          <cell r="D114">
            <v>105</v>
          </cell>
          <cell r="F114">
            <v>3.0000000318309801</v>
          </cell>
        </row>
        <row r="115">
          <cell r="D115">
            <v>110</v>
          </cell>
          <cell r="F115">
            <v>3.0000000318309823</v>
          </cell>
        </row>
        <row r="116">
          <cell r="D116">
            <v>115</v>
          </cell>
          <cell r="F116">
            <v>3.0000000318309845</v>
          </cell>
        </row>
        <row r="117">
          <cell r="D117">
            <v>120</v>
          </cell>
          <cell r="F117">
            <v>3.0000000318309863</v>
          </cell>
        </row>
      </sheetData>
      <sheetData sheetId="7">
        <row r="3">
          <cell r="D3">
            <v>0</v>
          </cell>
        </row>
      </sheetData>
      <sheetData sheetId="8">
        <row r="3">
          <cell r="D3">
            <v>0</v>
          </cell>
        </row>
      </sheetData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72C51-EA25-4C06-A6AD-D9D863671642}">
  <dimension ref="B20:H58"/>
  <sheetViews>
    <sheetView tabSelected="1" workbookViewId="0">
      <selection activeCell="A18" sqref="A18"/>
    </sheetView>
  </sheetViews>
  <sheetFormatPr defaultRowHeight="17.649999999999999"/>
  <sheetData>
    <row r="20" spans="2:8">
      <c r="B20" t="s">
        <v>19</v>
      </c>
    </row>
    <row r="22" spans="2:8">
      <c r="B22" t="s">
        <v>20</v>
      </c>
      <c r="C22" t="s">
        <v>18</v>
      </c>
    </row>
    <row r="23" spans="2:8">
      <c r="B23" t="s">
        <v>21</v>
      </c>
      <c r="C23" t="s">
        <v>16</v>
      </c>
      <c r="H23" t="s">
        <v>22</v>
      </c>
    </row>
    <row r="24" spans="2:8">
      <c r="B24" t="s">
        <v>23</v>
      </c>
      <c r="C24" t="s">
        <v>24</v>
      </c>
    </row>
    <row r="25" spans="2:8">
      <c r="B25" t="s">
        <v>25</v>
      </c>
      <c r="C25" t="s">
        <v>26</v>
      </c>
    </row>
    <row r="27" spans="2:8">
      <c r="B27" t="s">
        <v>27</v>
      </c>
      <c r="C27" t="s">
        <v>28</v>
      </c>
    </row>
    <row r="28" spans="2:8">
      <c r="B28" t="s">
        <v>29</v>
      </c>
      <c r="C28" t="s">
        <v>30</v>
      </c>
    </row>
    <row r="31" spans="2:8">
      <c r="C31" s="9"/>
      <c r="D31" s="10"/>
      <c r="E31" s="10"/>
      <c r="F31" s="10"/>
      <c r="G31" s="11"/>
    </row>
    <row r="32" spans="2:8">
      <c r="C32" s="10"/>
      <c r="D32" s="10"/>
      <c r="E32" s="10"/>
      <c r="F32" s="10"/>
      <c r="G32" s="11"/>
    </row>
    <row r="33" spans="3:7">
      <c r="C33" s="10"/>
      <c r="D33" s="10"/>
      <c r="E33" s="10"/>
      <c r="F33" s="10"/>
      <c r="G33" s="11"/>
    </row>
    <row r="34" spans="3:7">
      <c r="C34" s="10"/>
      <c r="D34" s="10"/>
      <c r="E34" s="10"/>
      <c r="F34" s="10"/>
      <c r="G34" s="11"/>
    </row>
    <row r="35" spans="3:7">
      <c r="C35" s="10"/>
      <c r="D35" s="10"/>
      <c r="E35" s="10"/>
      <c r="F35" s="10"/>
      <c r="G35" s="11"/>
    </row>
    <row r="36" spans="3:7">
      <c r="C36" s="10"/>
      <c r="D36" s="10"/>
      <c r="E36" s="10"/>
      <c r="F36" s="10"/>
      <c r="G36" s="11"/>
    </row>
    <row r="37" spans="3:7">
      <c r="C37" s="10"/>
      <c r="D37" s="10"/>
      <c r="E37" s="10"/>
      <c r="F37" s="10"/>
      <c r="G37" s="11"/>
    </row>
    <row r="38" spans="3:7">
      <c r="C38" s="10"/>
      <c r="D38" s="10"/>
      <c r="E38" s="10"/>
      <c r="F38" s="10"/>
      <c r="G38" s="11"/>
    </row>
    <row r="39" spans="3:7">
      <c r="C39" s="10"/>
      <c r="D39" s="10"/>
      <c r="E39" s="10"/>
      <c r="F39" s="10"/>
      <c r="G39" s="11"/>
    </row>
    <row r="40" spans="3:7">
      <c r="C40" s="10"/>
      <c r="D40" s="10"/>
      <c r="E40" s="10"/>
      <c r="F40" s="10"/>
      <c r="G40" s="11"/>
    </row>
    <row r="41" spans="3:7">
      <c r="C41" s="10"/>
      <c r="D41" s="10"/>
      <c r="E41" s="10"/>
      <c r="F41" s="10"/>
      <c r="G41" s="11"/>
    </row>
    <row r="42" spans="3:7">
      <c r="C42" s="10"/>
      <c r="D42" s="10"/>
      <c r="E42" s="10"/>
      <c r="F42" s="10"/>
      <c r="G42" s="11"/>
    </row>
    <row r="43" spans="3:7">
      <c r="C43" s="10"/>
      <c r="D43" s="10"/>
      <c r="E43" s="10"/>
      <c r="F43" s="10"/>
      <c r="G43" s="11"/>
    </row>
    <row r="44" spans="3:7">
      <c r="C44" s="10"/>
      <c r="D44" s="10"/>
      <c r="E44" s="10"/>
      <c r="F44" s="10"/>
      <c r="G44" s="11"/>
    </row>
    <row r="45" spans="3:7">
      <c r="C45" s="10"/>
      <c r="D45" s="10"/>
      <c r="E45" s="10"/>
      <c r="F45" s="10"/>
      <c r="G45" s="11"/>
    </row>
    <row r="46" spans="3:7">
      <c r="C46" s="10"/>
      <c r="D46" s="10"/>
      <c r="E46" s="10"/>
      <c r="F46" s="10"/>
      <c r="G46" s="11"/>
    </row>
    <row r="47" spans="3:7">
      <c r="C47" s="10"/>
      <c r="D47" s="10"/>
      <c r="E47" s="10"/>
      <c r="F47" s="10"/>
      <c r="G47" s="11"/>
    </row>
    <row r="48" spans="3:7">
      <c r="C48" s="10"/>
      <c r="D48" s="10"/>
      <c r="E48" s="10"/>
      <c r="F48" s="10"/>
      <c r="G48" s="11"/>
    </row>
    <row r="49" spans="3:7">
      <c r="C49" s="11"/>
      <c r="D49" s="11"/>
      <c r="E49" s="11"/>
      <c r="F49" s="11"/>
      <c r="G49" s="11"/>
    </row>
    <row r="50" spans="3:7">
      <c r="C50" s="11"/>
      <c r="D50" s="11"/>
      <c r="E50" s="11"/>
      <c r="F50" s="11"/>
      <c r="G50" s="11"/>
    </row>
    <row r="51" spans="3:7">
      <c r="C51" s="11"/>
      <c r="D51" s="11"/>
      <c r="E51" s="11"/>
      <c r="F51" s="11"/>
      <c r="G51" s="11"/>
    </row>
    <row r="52" spans="3:7">
      <c r="C52" s="11"/>
      <c r="D52" s="11"/>
      <c r="E52" s="11"/>
      <c r="F52" s="11"/>
      <c r="G52" s="11"/>
    </row>
    <row r="53" spans="3:7">
      <c r="C53" s="11"/>
      <c r="D53" s="11"/>
      <c r="E53" s="11"/>
      <c r="F53" s="11"/>
      <c r="G53" s="11"/>
    </row>
    <row r="54" spans="3:7">
      <c r="C54" s="11"/>
      <c r="D54" s="11"/>
      <c r="E54" s="11"/>
      <c r="F54" s="11"/>
      <c r="G54" s="11"/>
    </row>
    <row r="55" spans="3:7">
      <c r="C55" s="11"/>
      <c r="D55" s="11"/>
      <c r="E55" s="11"/>
      <c r="F55" s="11"/>
      <c r="G55" s="11"/>
    </row>
    <row r="56" spans="3:7">
      <c r="C56" s="11"/>
      <c r="D56" s="11"/>
      <c r="E56" s="11"/>
      <c r="F56" s="11"/>
      <c r="G56" s="11"/>
    </row>
    <row r="57" spans="3:7">
      <c r="C57" s="11"/>
      <c r="D57" s="11"/>
      <c r="E57" s="11"/>
      <c r="F57" s="11"/>
      <c r="G57" s="11"/>
    </row>
    <row r="58" spans="3:7">
      <c r="C58" s="11"/>
      <c r="D58" s="11"/>
      <c r="E58" s="11"/>
      <c r="F58" s="11"/>
      <c r="G58" s="11"/>
    </row>
  </sheetData>
  <sheetProtection algorithmName="SHA-512" hashValue="Pi/w+HJZ/wz61fKFDvfh2p50iy50rkSIYIumbt65K3FBcyqxl5UozSpwhL+wxOkRIsa262hgrs1rYYBE494nOA==" saltValue="qME7p+SYWrhm8Ja535Wgrw==" spinCount="100000" sheet="1"/>
  <mergeCells count="1">
    <mergeCell ref="C31:G58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80710-D2EC-467E-8669-998B462B5352}">
  <dimension ref="A1:P119"/>
  <sheetViews>
    <sheetView zoomScaleNormal="100" workbookViewId="0">
      <selection activeCell="L39" sqref="L39"/>
    </sheetView>
  </sheetViews>
  <sheetFormatPr defaultRowHeight="17.649999999999999"/>
  <cols>
    <col min="2" max="2" width="10.3125" customWidth="1"/>
    <col min="10" max="10" width="13.1875" customWidth="1"/>
  </cols>
  <sheetData>
    <row r="1" spans="1:16">
      <c r="A1" t="s">
        <v>0</v>
      </c>
    </row>
    <row r="2" spans="1:16">
      <c r="B2" t="s">
        <v>1</v>
      </c>
      <c r="C2" t="s">
        <v>2</v>
      </c>
      <c r="D2" t="s">
        <v>3</v>
      </c>
      <c r="E2" t="s">
        <v>4</v>
      </c>
      <c r="F2" t="s">
        <v>5</v>
      </c>
      <c r="H2" t="s">
        <v>6</v>
      </c>
      <c r="J2" t="s">
        <v>7</v>
      </c>
      <c r="N2" s="1" t="s">
        <v>8</v>
      </c>
      <c r="O2" t="s">
        <v>9</v>
      </c>
    </row>
    <row r="3" spans="1:16">
      <c r="B3">
        <v>0</v>
      </c>
      <c r="C3">
        <v>0</v>
      </c>
      <c r="D3" s="2">
        <f>$B$3+C3/12</f>
        <v>0</v>
      </c>
      <c r="E3">
        <f>(-1/(PI())*ATAN($N$3*(D3-$I$8))+1/2)</f>
        <v>0.97353532394041009</v>
      </c>
      <c r="F3" s="3">
        <f>$O$3*E3*(D3-$I$8)+$I$8</f>
        <v>0</v>
      </c>
      <c r="G3" s="3">
        <f t="shared" ref="G3:G39" si="0">D3-F3</f>
        <v>0</v>
      </c>
      <c r="H3" t="str">
        <f t="shared" ref="H3:H39" si="1">IF((12*ABS(G3))&lt;1,"○","×")</f>
        <v>○</v>
      </c>
      <c r="I3" t="s">
        <v>10</v>
      </c>
      <c r="J3" t="s">
        <v>11</v>
      </c>
      <c r="M3" s="4"/>
      <c r="N3" s="5">
        <v>4</v>
      </c>
      <c r="O3">
        <f>(0.5+(1/(PI())*ATAN($I$8*N3)))^-1</f>
        <v>1.0271840943094632</v>
      </c>
    </row>
    <row r="4" spans="1:16">
      <c r="B4">
        <f>IF(C4=0,B3+1,B3)</f>
        <v>0</v>
      </c>
      <c r="C4">
        <v>1</v>
      </c>
      <c r="D4" s="2">
        <f t="shared" ref="D4:D14" si="2">$B$3+C4/12</f>
        <v>8.3333333333333329E-2</v>
      </c>
      <c r="E4">
        <f t="shared" ref="E4:E67" si="3">(-1/(PI())*ATAN($N$3*(D4-$I$8))+1/2)</f>
        <v>0.97278281970117919</v>
      </c>
      <c r="F4" s="3">
        <f t="shared" ref="F4:F67" si="4">$O$3*E4*(D4-$I$8)+$I$8</f>
        <v>8.5587801124195284E-2</v>
      </c>
      <c r="G4" s="3">
        <f t="shared" si="0"/>
        <v>-2.2544677908619554E-3</v>
      </c>
      <c r="H4" t="str">
        <f t="shared" si="1"/>
        <v>○</v>
      </c>
      <c r="J4" t="s">
        <v>12</v>
      </c>
      <c r="N4" t="s">
        <v>13</v>
      </c>
    </row>
    <row r="5" spans="1:16">
      <c r="B5">
        <f t="shared" ref="B5:B68" si="5">IF(C5=0,B4+1,B4)</f>
        <v>0</v>
      </c>
      <c r="C5">
        <v>2</v>
      </c>
      <c r="D5" s="2">
        <f t="shared" si="2"/>
        <v>0.16666666666666666</v>
      </c>
      <c r="E5">
        <f t="shared" si="3"/>
        <v>0.97198638294905049</v>
      </c>
      <c r="F5" s="3">
        <f t="shared" si="4"/>
        <v>0.17117463472315375</v>
      </c>
      <c r="G5" s="3">
        <f t="shared" si="0"/>
        <v>-4.5079680564870939E-3</v>
      </c>
      <c r="H5" t="str">
        <f t="shared" si="1"/>
        <v>○</v>
      </c>
      <c r="J5" t="s">
        <v>14</v>
      </c>
    </row>
    <row r="6" spans="1:16">
      <c r="B6">
        <f t="shared" si="5"/>
        <v>0</v>
      </c>
      <c r="C6">
        <v>3</v>
      </c>
      <c r="D6" s="2">
        <f t="shared" si="2"/>
        <v>0.25</v>
      </c>
      <c r="E6">
        <f t="shared" si="3"/>
        <v>0.97114206162369554</v>
      </c>
      <c r="F6" s="3">
        <f t="shared" si="4"/>
        <v>0.25676038270940804</v>
      </c>
      <c r="G6" s="3">
        <f t="shared" si="0"/>
        <v>-6.7603827094080415E-3</v>
      </c>
      <c r="H6" t="str">
        <f t="shared" si="1"/>
        <v>○</v>
      </c>
    </row>
    <row r="7" spans="1:16">
      <c r="B7">
        <f t="shared" si="5"/>
        <v>0</v>
      </c>
      <c r="C7">
        <v>4</v>
      </c>
      <c r="D7" s="2">
        <f t="shared" si="2"/>
        <v>0.33333333333333331</v>
      </c>
      <c r="E7">
        <f t="shared" si="3"/>
        <v>0.97024541642858231</v>
      </c>
      <c r="F7" s="3">
        <f t="shared" si="4"/>
        <v>0.34234490844773013</v>
      </c>
      <c r="G7" s="3">
        <f t="shared" si="0"/>
        <v>-9.0115751143968192E-3</v>
      </c>
      <c r="H7" t="str">
        <f t="shared" si="1"/>
        <v>○</v>
      </c>
      <c r="I7" t="s">
        <v>15</v>
      </c>
      <c r="J7" t="s">
        <v>8</v>
      </c>
      <c r="K7" t="s">
        <v>9</v>
      </c>
    </row>
    <row r="8" spans="1:16">
      <c r="B8">
        <f t="shared" si="5"/>
        <v>0</v>
      </c>
      <c r="C8">
        <v>5</v>
      </c>
      <c r="D8" s="2">
        <f t="shared" si="2"/>
        <v>0.41666666666666669</v>
      </c>
      <c r="E8">
        <f t="shared" si="3"/>
        <v>0.96929144360191022</v>
      </c>
      <c r="F8" s="3">
        <f t="shared" si="4"/>
        <v>0.42792805315313753</v>
      </c>
      <c r="G8" s="3">
        <f t="shared" si="0"/>
        <v>-1.1261386486470848E-2</v>
      </c>
      <c r="H8" t="str">
        <f t="shared" si="1"/>
        <v>○</v>
      </c>
      <c r="I8">
        <v>3</v>
      </c>
      <c r="J8">
        <v>0</v>
      </c>
      <c r="K8" s="6">
        <f>(0.5+(1/(PI())*ATAN($I$8*J8)))^-1</f>
        <v>2</v>
      </c>
      <c r="P8" s="7"/>
    </row>
    <row r="9" spans="1:16">
      <c r="B9">
        <f t="shared" si="5"/>
        <v>0</v>
      </c>
      <c r="C9">
        <v>6</v>
      </c>
      <c r="D9" s="2">
        <f t="shared" si="2"/>
        <v>0.5</v>
      </c>
      <c r="E9">
        <f t="shared" si="3"/>
        <v>0.96827448256944648</v>
      </c>
      <c r="F9" s="3">
        <f t="shared" si="4"/>
        <v>0.51350963144734729</v>
      </c>
      <c r="G9" s="3">
        <f t="shared" si="0"/>
        <v>-1.3509631447347292E-2</v>
      </c>
      <c r="H9" t="str">
        <f t="shared" si="1"/>
        <v>○</v>
      </c>
      <c r="J9" s="6">
        <v>0.1</v>
      </c>
      <c r="K9" s="6">
        <f>(0.5+(1/(PI())*ATAN(3*J9)))^-1</f>
        <v>1.6869847700631908</v>
      </c>
      <c r="P9" s="7"/>
    </row>
    <row r="10" spans="1:16">
      <c r="B10">
        <f t="shared" si="5"/>
        <v>0</v>
      </c>
      <c r="C10">
        <v>7</v>
      </c>
      <c r="D10" s="2">
        <f t="shared" si="2"/>
        <v>0.58333333333333337</v>
      </c>
      <c r="E10">
        <f t="shared" si="3"/>
        <v>0.96718810492349716</v>
      </c>
      <c r="F10" s="3">
        <f t="shared" si="4"/>
        <v>0.59908942584173941</v>
      </c>
      <c r="G10" s="3">
        <f t="shared" si="0"/>
        <v>-1.5756092508406039E-2</v>
      </c>
      <c r="H10" t="str">
        <f t="shared" si="1"/>
        <v>○</v>
      </c>
      <c r="J10">
        <v>0.2</v>
      </c>
      <c r="K10">
        <f t="shared" ref="K10:K45" si="6">(0.5+(1/(PI())*ATAN(3*J10)))^-1</f>
        <v>1.4880490252654563</v>
      </c>
    </row>
    <row r="11" spans="1:16">
      <c r="B11">
        <f t="shared" si="5"/>
        <v>0</v>
      </c>
      <c r="C11">
        <v>8</v>
      </c>
      <c r="D11" s="2">
        <f t="shared" si="2"/>
        <v>0.66666666666666663</v>
      </c>
      <c r="E11">
        <f t="shared" si="3"/>
        <v>0.96602498018730332</v>
      </c>
      <c r="F11" s="3">
        <f t="shared" si="4"/>
        <v>0.68466717984063763</v>
      </c>
      <c r="G11" s="3">
        <f t="shared" si="0"/>
        <v>-1.8000513173971E-2</v>
      </c>
      <c r="H11" t="str">
        <f t="shared" si="1"/>
        <v>○</v>
      </c>
      <c r="J11">
        <v>0.3</v>
      </c>
      <c r="K11">
        <f t="shared" si="6"/>
        <v>1.363768478750963</v>
      </c>
    </row>
    <row r="12" spans="1:16">
      <c r="B12">
        <f t="shared" si="5"/>
        <v>0</v>
      </c>
      <c r="C12">
        <v>9</v>
      </c>
      <c r="D12" s="2">
        <f t="shared" si="2"/>
        <v>0.75</v>
      </c>
      <c r="E12">
        <f t="shared" si="3"/>
        <v>0.96477671252272268</v>
      </c>
      <c r="F12" s="3">
        <f t="shared" si="4"/>
        <v>0.77024258925709299</v>
      </c>
      <c r="G12" s="3">
        <f t="shared" si="0"/>
        <v>-2.0242589257092991E-2</v>
      </c>
      <c r="H12" t="str">
        <f t="shared" si="1"/>
        <v>○</v>
      </c>
      <c r="J12">
        <v>0.4</v>
      </c>
      <c r="K12">
        <f t="shared" si="6"/>
        <v>1.2839311904359776</v>
      </c>
    </row>
    <row r="13" spans="1:16">
      <c r="B13">
        <f t="shared" si="5"/>
        <v>0</v>
      </c>
      <c r="C13">
        <v>10</v>
      </c>
      <c r="D13" s="2">
        <f t="shared" si="2"/>
        <v>0.83333333333333337</v>
      </c>
      <c r="E13">
        <f t="shared" si="3"/>
        <v>0.96343364080456673</v>
      </c>
      <c r="F13" s="3">
        <f t="shared" si="4"/>
        <v>0.85581529119293354</v>
      </c>
      <c r="G13" s="3">
        <f t="shared" si="0"/>
        <v>-2.2481957859600166E-2</v>
      </c>
      <c r="H13" t="str">
        <f t="shared" si="1"/>
        <v>○</v>
      </c>
      <c r="J13">
        <v>0.5</v>
      </c>
      <c r="K13">
        <f t="shared" si="6"/>
        <v>1.2302650746692267</v>
      </c>
    </row>
    <row r="14" spans="1:16">
      <c r="B14">
        <f t="shared" si="5"/>
        <v>0</v>
      </c>
      <c r="C14">
        <v>11</v>
      </c>
      <c r="D14" s="2">
        <f t="shared" si="2"/>
        <v>0.91666666666666663</v>
      </c>
      <c r="E14">
        <f t="shared" si="3"/>
        <v>0.96198459215205046</v>
      </c>
      <c r="F14" s="3">
        <f t="shared" si="4"/>
        <v>0.94138484993882843</v>
      </c>
      <c r="G14" s="3">
        <f t="shared" si="0"/>
        <v>-2.4718183272161798E-2</v>
      </c>
      <c r="H14" t="str">
        <f t="shared" si="1"/>
        <v>○</v>
      </c>
      <c r="J14">
        <v>0.6</v>
      </c>
      <c r="K14">
        <f t="shared" si="6"/>
        <v>1.1924842021557778</v>
      </c>
    </row>
    <row r="15" spans="1:16">
      <c r="B15">
        <f t="shared" si="5"/>
        <v>1</v>
      </c>
      <c r="C15">
        <v>0</v>
      </c>
      <c r="D15" s="2">
        <f>$B$15+C15/12</f>
        <v>1</v>
      </c>
      <c r="E15">
        <f t="shared" si="3"/>
        <v>0.96041657583943452</v>
      </c>
      <c r="F15" s="3">
        <f t="shared" si="4"/>
        <v>1.0269507387731491</v>
      </c>
      <c r="G15" s="3">
        <f t="shared" si="0"/>
        <v>-2.695073877314913E-2</v>
      </c>
      <c r="H15" t="str">
        <f t="shared" si="1"/>
        <v>○</v>
      </c>
      <c r="J15">
        <v>0.7</v>
      </c>
      <c r="K15">
        <f t="shared" si="6"/>
        <v>1.1647722028930052</v>
      </c>
    </row>
    <row r="16" spans="1:16">
      <c r="B16">
        <f t="shared" si="5"/>
        <v>1</v>
      </c>
      <c r="C16">
        <v>1</v>
      </c>
      <c r="D16" s="2">
        <f t="shared" ref="D16:D26" si="7">$B$15+C16/12</f>
        <v>1.0833333333333333</v>
      </c>
      <c r="E16">
        <f t="shared" si="3"/>
        <v>0.95871440016015286</v>
      </c>
      <c r="F16" s="3">
        <f t="shared" si="4"/>
        <v>1.1125123162426016</v>
      </c>
      <c r="G16" s="3">
        <f t="shared" si="0"/>
        <v>-2.9178982909268347E-2</v>
      </c>
      <c r="H16" t="str">
        <f t="shared" si="1"/>
        <v>○</v>
      </c>
      <c r="J16">
        <v>0.8</v>
      </c>
      <c r="K16">
        <f t="shared" si="6"/>
        <v>1.1437275736265722</v>
      </c>
    </row>
    <row r="17" spans="2:11">
      <c r="B17">
        <f t="shared" si="5"/>
        <v>1</v>
      </c>
      <c r="C17">
        <v>2</v>
      </c>
      <c r="D17" s="2">
        <f t="shared" si="7"/>
        <v>1.1666666666666667</v>
      </c>
      <c r="E17">
        <f t="shared" si="3"/>
        <v>0.95686018878652601</v>
      </c>
      <c r="F17" s="3">
        <f t="shared" si="4"/>
        <v>1.1980687949343056</v>
      </c>
      <c r="G17" s="3">
        <f t="shared" si="0"/>
        <v>-3.1402128267638885E-2</v>
      </c>
      <c r="H17" t="str">
        <f t="shared" si="1"/>
        <v>○</v>
      </c>
      <c r="J17">
        <v>0.9</v>
      </c>
      <c r="K17">
        <f t="shared" si="6"/>
        <v>1.1272766537753374</v>
      </c>
    </row>
    <row r="18" spans="2:11">
      <c r="B18">
        <f t="shared" si="5"/>
        <v>1</v>
      </c>
      <c r="C18">
        <v>3</v>
      </c>
      <c r="D18" s="2">
        <f t="shared" si="7"/>
        <v>1.25</v>
      </c>
      <c r="E18">
        <f t="shared" si="3"/>
        <v>0.95483276469913347</v>
      </c>
      <c r="F18" s="3">
        <f t="shared" si="4"/>
        <v>1.2836191999071596</v>
      </c>
      <c r="G18" s="3">
        <f t="shared" si="0"/>
        <v>-3.3619199907159558E-2</v>
      </c>
      <c r="H18" t="str">
        <f t="shared" si="1"/>
        <v>○</v>
      </c>
      <c r="J18">
        <v>1</v>
      </c>
      <c r="K18">
        <f t="shared" si="6"/>
        <v>1.114102330229308</v>
      </c>
    </row>
    <row r="19" spans="2:11">
      <c r="B19">
        <f t="shared" si="5"/>
        <v>1</v>
      </c>
      <c r="C19">
        <v>4</v>
      </c>
      <c r="D19" s="2">
        <f t="shared" si="7"/>
        <v>1.3333333333333333</v>
      </c>
      <c r="E19">
        <f t="shared" si="3"/>
        <v>0.95260685772251041</v>
      </c>
      <c r="F19" s="3">
        <f t="shared" si="4"/>
        <v>1.3691623126955323</v>
      </c>
      <c r="G19" s="3">
        <f t="shared" si="0"/>
        <v>-3.5828979362199087E-2</v>
      </c>
      <c r="H19" t="str">
        <f t="shared" si="1"/>
        <v>○</v>
      </c>
      <c r="J19">
        <v>1.1000000000000001</v>
      </c>
      <c r="K19">
        <f t="shared" si="6"/>
        <v>1.1033359893515897</v>
      </c>
    </row>
    <row r="20" spans="2:11">
      <c r="B20">
        <f t="shared" si="5"/>
        <v>1</v>
      </c>
      <c r="C20">
        <v>5</v>
      </c>
      <c r="D20" s="2">
        <f t="shared" si="7"/>
        <v>1.4166666666666667</v>
      </c>
      <c r="E20">
        <f t="shared" si="3"/>
        <v>0.95015207436168669</v>
      </c>
      <c r="F20" s="3">
        <f t="shared" si="4"/>
        <v>1.4546965948975108</v>
      </c>
      <c r="G20" s="3">
        <f t="shared" si="0"/>
        <v>-3.8029928230844057E-2</v>
      </c>
      <c r="H20" t="str">
        <f t="shared" si="1"/>
        <v>○</v>
      </c>
      <c r="J20">
        <v>1.2</v>
      </c>
      <c r="K20">
        <f t="shared" si="6"/>
        <v>1.0943853296117336</v>
      </c>
    </row>
    <row r="21" spans="2:11">
      <c r="B21">
        <f t="shared" si="5"/>
        <v>1</v>
      </c>
      <c r="C21">
        <v>6</v>
      </c>
      <c r="D21" s="2">
        <f t="shared" si="7"/>
        <v>1.5</v>
      </c>
      <c r="E21">
        <f t="shared" si="3"/>
        <v>0.94743154328874657</v>
      </c>
      <c r="F21" s="3">
        <f t="shared" si="4"/>
        <v>1.5402200824300978</v>
      </c>
      <c r="G21" s="3">
        <f t="shared" si="0"/>
        <v>-4.0220082430097781E-2</v>
      </c>
      <c r="H21" t="str">
        <f t="shared" si="1"/>
        <v>○</v>
      </c>
      <c r="J21">
        <v>1.3</v>
      </c>
      <c r="K21">
        <f t="shared" si="6"/>
        <v>1.0868344142590938</v>
      </c>
    </row>
    <row r="22" spans="2:11">
      <c r="B22">
        <f t="shared" si="5"/>
        <v>1</v>
      </c>
      <c r="C22">
        <v>7</v>
      </c>
      <c r="D22" s="2">
        <f t="shared" si="7"/>
        <v>1.5833333333333335</v>
      </c>
      <c r="E22">
        <f t="shared" si="3"/>
        <v>0.94440011221421483</v>
      </c>
      <c r="F22" s="3">
        <f t="shared" si="4"/>
        <v>1.6257302369317723</v>
      </c>
      <c r="G22" s="3">
        <f t="shared" si="0"/>
        <v>-4.239690359843884E-2</v>
      </c>
      <c r="H22" t="str">
        <f t="shared" si="1"/>
        <v>○</v>
      </c>
      <c r="J22">
        <v>1.4</v>
      </c>
      <c r="K22">
        <f t="shared" si="6"/>
        <v>1.0803835215893025</v>
      </c>
    </row>
    <row r="23" spans="2:11">
      <c r="B23">
        <f t="shared" si="5"/>
        <v>1</v>
      </c>
      <c r="C23">
        <v>8</v>
      </c>
      <c r="D23" s="2">
        <f t="shared" si="7"/>
        <v>1.6666666666666665</v>
      </c>
      <c r="E23">
        <f t="shared" si="3"/>
        <v>0.94100191513247156</v>
      </c>
      <c r="F23" s="3">
        <f t="shared" si="4"/>
        <v>1.711223733414909</v>
      </c>
      <c r="G23" s="3">
        <f t="shared" si="0"/>
        <v>-4.4557066748242447E-2</v>
      </c>
      <c r="H23" t="str">
        <f t="shared" si="1"/>
        <v>○</v>
      </c>
      <c r="J23">
        <v>1.5</v>
      </c>
      <c r="K23">
        <f t="shared" si="6"/>
        <v>1.0748117185873534</v>
      </c>
    </row>
    <row r="24" spans="2:11">
      <c r="B24">
        <f t="shared" si="5"/>
        <v>1</v>
      </c>
      <c r="C24">
        <v>9</v>
      </c>
      <c r="D24" s="2">
        <f t="shared" si="7"/>
        <v>1.75</v>
      </c>
      <c r="E24">
        <f t="shared" si="3"/>
        <v>0.93716704181099886</v>
      </c>
      <c r="F24" s="3">
        <f t="shared" si="4"/>
        <v>1.7966961511758628</v>
      </c>
      <c r="G24" s="3">
        <f t="shared" si="0"/>
        <v>-4.6696151175862788E-2</v>
      </c>
      <c r="H24" t="str">
        <f t="shared" si="1"/>
        <v>○</v>
      </c>
      <c r="J24">
        <v>1.6</v>
      </c>
      <c r="K24">
        <f t="shared" si="6"/>
        <v>1.069952857623051</v>
      </c>
    </row>
    <row r="25" spans="2:11">
      <c r="B25">
        <f t="shared" si="5"/>
        <v>1</v>
      </c>
      <c r="C25">
        <v>10</v>
      </c>
      <c r="D25" s="2">
        <f t="shared" si="7"/>
        <v>1.8333333333333335</v>
      </c>
      <c r="E25">
        <f t="shared" si="3"/>
        <v>0.93280690512771058</v>
      </c>
      <c r="F25" s="3">
        <f t="shared" si="4"/>
        <v>1.8821415146559093</v>
      </c>
      <c r="G25" s="3">
        <f t="shared" si="0"/>
        <v>-4.8808181322575805E-2</v>
      </c>
      <c r="H25" t="str">
        <f t="shared" si="1"/>
        <v>○</v>
      </c>
      <c r="J25">
        <v>1.7</v>
      </c>
      <c r="K25">
        <f t="shared" si="6"/>
        <v>1.0656797557163429</v>
      </c>
    </row>
    <row r="26" spans="2:11">
      <c r="B26">
        <f t="shared" si="5"/>
        <v>1</v>
      </c>
      <c r="C26">
        <v>11</v>
      </c>
      <c r="D26" s="2">
        <f t="shared" si="7"/>
        <v>1.9166666666666665</v>
      </c>
      <c r="E26">
        <f t="shared" si="3"/>
        <v>0.9278076844893528</v>
      </c>
      <c r="F26" s="3">
        <f t="shared" si="4"/>
        <v>1.967551595907314</v>
      </c>
      <c r="G26" s="3">
        <f t="shared" si="0"/>
        <v>-5.088492924064747E-2</v>
      </c>
      <c r="H26" t="str">
        <f t="shared" si="1"/>
        <v>○</v>
      </c>
      <c r="J26">
        <v>1.8</v>
      </c>
      <c r="K26">
        <f t="shared" si="6"/>
        <v>1.06189350734355</v>
      </c>
    </row>
    <row r="27" spans="2:11">
      <c r="B27">
        <f t="shared" si="5"/>
        <v>2</v>
      </c>
      <c r="C27">
        <v>0</v>
      </c>
      <c r="D27" s="2">
        <f>$B$27+C27/12</f>
        <v>2</v>
      </c>
      <c r="E27">
        <f t="shared" si="3"/>
        <v>0.92202086962263075</v>
      </c>
      <c r="F27" s="3">
        <f t="shared" si="4"/>
        <v>2.0529148281022542</v>
      </c>
      <c r="G27" s="3">
        <f t="shared" si="0"/>
        <v>-5.291482810225423E-2</v>
      </c>
      <c r="H27" t="str">
        <f t="shared" si="1"/>
        <v>○</v>
      </c>
      <c r="J27">
        <v>1.9</v>
      </c>
      <c r="K27">
        <f t="shared" si="6"/>
        <v>1.0585161032595618</v>
      </c>
    </row>
    <row r="28" spans="2:11">
      <c r="B28">
        <f t="shared" si="5"/>
        <v>2</v>
      </c>
      <c r="C28">
        <v>1</v>
      </c>
      <c r="D28" s="2">
        <f t="shared" ref="D28:D38" si="8">$B$27+C28/12</f>
        <v>2.0833333333333335</v>
      </c>
      <c r="E28">
        <f t="shared" si="3"/>
        <v>0.91524934053856799</v>
      </c>
      <c r="F28" s="3">
        <f t="shared" si="4"/>
        <v>2.1382145654822611</v>
      </c>
      <c r="G28" s="3">
        <f t="shared" si="0"/>
        <v>-5.4881232148927594E-2</v>
      </c>
      <c r="H28" t="str">
        <f t="shared" si="1"/>
        <v>○</v>
      </c>
      <c r="J28">
        <v>2</v>
      </c>
      <c r="K28">
        <f t="shared" si="6"/>
        <v>1.0554852296016835</v>
      </c>
    </row>
    <row r="29" spans="2:11">
      <c r="B29">
        <f t="shared" si="5"/>
        <v>2</v>
      </c>
      <c r="C29">
        <v>2</v>
      </c>
      <c r="D29" s="2">
        <f t="shared" si="8"/>
        <v>2.1666666666666665</v>
      </c>
      <c r="E29">
        <f t="shared" si="3"/>
        <v>0.90722642092225769</v>
      </c>
      <c r="F29" s="3">
        <f t="shared" si="4"/>
        <v>2.2234262087427954</v>
      </c>
      <c r="G29" s="3">
        <f t="shared" si="0"/>
        <v>-5.6759542076128877E-2</v>
      </c>
      <c r="H29" t="str">
        <f t="shared" si="1"/>
        <v>○</v>
      </c>
      <c r="J29">
        <v>2.1</v>
      </c>
      <c r="K29">
        <f t="shared" si="6"/>
        <v>1.0527505362573033</v>
      </c>
    </row>
    <row r="30" spans="2:11">
      <c r="B30">
        <f t="shared" si="5"/>
        <v>2</v>
      </c>
      <c r="C30">
        <v>3</v>
      </c>
      <c r="D30" s="2">
        <f t="shared" si="8"/>
        <v>2.25</v>
      </c>
      <c r="E30">
        <f t="shared" si="3"/>
        <v>0.89758361765043326</v>
      </c>
      <c r="F30" s="3">
        <f t="shared" si="4"/>
        <v>2.3085122884775462</v>
      </c>
      <c r="G30" s="3">
        <f t="shared" si="0"/>
        <v>-5.8512288477546193E-2</v>
      </c>
      <c r="H30" t="str">
        <f t="shared" si="1"/>
        <v>○</v>
      </c>
      <c r="J30">
        <v>2.2000000000000002</v>
      </c>
      <c r="K30">
        <f t="shared" si="6"/>
        <v>1.0502709150099199</v>
      </c>
    </row>
    <row r="31" spans="2:11">
      <c r="B31">
        <f t="shared" si="5"/>
        <v>2</v>
      </c>
      <c r="C31">
        <v>4</v>
      </c>
      <c r="D31" s="2">
        <f t="shared" si="8"/>
        <v>2.3333333333333335</v>
      </c>
      <c r="E31">
        <f t="shared" si="3"/>
        <v>0.88579974878009193</v>
      </c>
      <c r="F31" s="3">
        <f t="shared" si="4"/>
        <v>2.3934137248731808</v>
      </c>
      <c r="G31" s="3">
        <f t="shared" si="0"/>
        <v>-6.0080391539847344E-2</v>
      </c>
      <c r="H31" t="str">
        <f t="shared" si="1"/>
        <v>○</v>
      </c>
      <c r="J31">
        <v>2.2999999999999998</v>
      </c>
      <c r="K31">
        <f t="shared" si="6"/>
        <v>1.0480124842365717</v>
      </c>
    </row>
    <row r="32" spans="2:11">
      <c r="B32">
        <f t="shared" si="5"/>
        <v>2</v>
      </c>
      <c r="C32">
        <v>5</v>
      </c>
      <c r="D32" s="2">
        <f t="shared" si="8"/>
        <v>2.4166666666666665</v>
      </c>
      <c r="E32">
        <f t="shared" si="3"/>
        <v>0.87111894159084335</v>
      </c>
      <c r="F32" s="3">
        <f t="shared" si="4"/>
        <v>2.4780336127186113</v>
      </c>
      <c r="G32" s="3">
        <f t="shared" si="0"/>
        <v>-6.1366946051944815E-2</v>
      </c>
      <c r="H32" t="str">
        <f t="shared" si="1"/>
        <v>○</v>
      </c>
      <c r="J32">
        <v>2.4</v>
      </c>
      <c r="K32">
        <f t="shared" si="6"/>
        <v>1.0459470761662804</v>
      </c>
    </row>
    <row r="33" spans="2:11">
      <c r="B33">
        <f t="shared" si="5"/>
        <v>2</v>
      </c>
      <c r="C33">
        <v>6</v>
      </c>
      <c r="D33" s="2">
        <f t="shared" si="8"/>
        <v>2.5</v>
      </c>
      <c r="E33">
        <f t="shared" si="3"/>
        <v>0.85241638234956674</v>
      </c>
      <c r="F33" s="3">
        <f t="shared" si="4"/>
        <v>2.5622057251608554</v>
      </c>
      <c r="G33" s="3">
        <f t="shared" si="0"/>
        <v>-6.220572516085543E-2</v>
      </c>
      <c r="H33" t="str">
        <f t="shared" si="1"/>
        <v>○</v>
      </c>
      <c r="J33">
        <v>2.5</v>
      </c>
      <c r="K33">
        <f t="shared" si="6"/>
        <v>1.0440510870252615</v>
      </c>
    </row>
    <row r="34" spans="2:11">
      <c r="B34">
        <f t="shared" si="5"/>
        <v>2</v>
      </c>
      <c r="C34">
        <v>7</v>
      </c>
      <c r="D34" s="2">
        <f t="shared" si="8"/>
        <v>2.5833333333333335</v>
      </c>
      <c r="E34">
        <f t="shared" si="3"/>
        <v>0.82797913037736937</v>
      </c>
      <c r="F34" s="3">
        <f t="shared" si="4"/>
        <v>2.6456304195234104</v>
      </c>
      <c r="G34" s="3">
        <f t="shared" si="0"/>
        <v>-6.22970861900769E-2</v>
      </c>
      <c r="H34" t="str">
        <f t="shared" si="1"/>
        <v>○</v>
      </c>
      <c r="J34">
        <v>2.6</v>
      </c>
      <c r="K34">
        <f t="shared" si="6"/>
        <v>1.042304592866373</v>
      </c>
    </row>
    <row r="35" spans="2:11">
      <c r="B35">
        <f t="shared" si="5"/>
        <v>2</v>
      </c>
      <c r="C35">
        <v>8</v>
      </c>
      <c r="D35" s="2">
        <f t="shared" si="8"/>
        <v>2.6666666666666665</v>
      </c>
      <c r="E35">
        <f t="shared" si="3"/>
        <v>0.79516723530086664</v>
      </c>
      <c r="F35" s="3">
        <f t="shared" si="4"/>
        <v>2.7277389545276396</v>
      </c>
      <c r="G35" s="3">
        <f t="shared" si="0"/>
        <v>-6.1072287860973073E-2</v>
      </c>
      <c r="H35" t="str">
        <f t="shared" si="1"/>
        <v>○</v>
      </c>
      <c r="J35">
        <v>2.7</v>
      </c>
      <c r="K35">
        <f t="shared" si="6"/>
        <v>1.0406906624160186</v>
      </c>
    </row>
    <row r="36" spans="2:11">
      <c r="B36">
        <f t="shared" si="5"/>
        <v>2</v>
      </c>
      <c r="C36">
        <v>9</v>
      </c>
      <c r="D36" s="2">
        <f t="shared" si="8"/>
        <v>2.75</v>
      </c>
      <c r="E36">
        <f t="shared" si="3"/>
        <v>0.75</v>
      </c>
      <c r="F36" s="3">
        <f t="shared" si="4"/>
        <v>2.8074029823169755</v>
      </c>
      <c r="G36" s="3">
        <f t="shared" si="0"/>
        <v>-5.7402982316975493E-2</v>
      </c>
      <c r="H36" t="str">
        <f t="shared" si="1"/>
        <v>○</v>
      </c>
      <c r="J36">
        <v>2.8</v>
      </c>
      <c r="K36">
        <f t="shared" si="6"/>
        <v>1.0391948177534251</v>
      </c>
    </row>
    <row r="37" spans="2:11">
      <c r="B37">
        <f t="shared" si="5"/>
        <v>2</v>
      </c>
      <c r="C37">
        <v>10</v>
      </c>
      <c r="D37" s="2">
        <f t="shared" si="8"/>
        <v>2.8333333333333335</v>
      </c>
      <c r="E37">
        <f t="shared" si="3"/>
        <v>0.68716704181099875</v>
      </c>
      <c r="F37" s="3">
        <f t="shared" si="4"/>
        <v>2.8823588240863427</v>
      </c>
      <c r="G37" s="3">
        <f t="shared" si="0"/>
        <v>-4.9025490753009215E-2</v>
      </c>
      <c r="H37" t="str">
        <f t="shared" si="1"/>
        <v>○</v>
      </c>
      <c r="J37">
        <v>2.9</v>
      </c>
      <c r="K37">
        <f t="shared" si="6"/>
        <v>1.0378046071363358</v>
      </c>
    </row>
    <row r="38" spans="2:11">
      <c r="B38">
        <f t="shared" si="5"/>
        <v>2</v>
      </c>
      <c r="C38">
        <v>11</v>
      </c>
      <c r="D38" s="2">
        <f t="shared" si="8"/>
        <v>2.9166666666666665</v>
      </c>
      <c r="E38">
        <f t="shared" si="3"/>
        <v>0.60241638234956696</v>
      </c>
      <c r="F38" s="3">
        <f t="shared" si="4"/>
        <v>2.9484339561582562</v>
      </c>
      <c r="G38" s="3">
        <f t="shared" si="0"/>
        <v>-3.176728949158969E-2</v>
      </c>
      <c r="H38" t="str">
        <f t="shared" si="1"/>
        <v>○</v>
      </c>
      <c r="J38">
        <v>3</v>
      </c>
      <c r="K38">
        <f t="shared" si="6"/>
        <v>1.0365092637706548</v>
      </c>
    </row>
    <row r="39" spans="2:11">
      <c r="B39">
        <f t="shared" si="5"/>
        <v>3</v>
      </c>
      <c r="C39">
        <v>0</v>
      </c>
      <c r="D39" s="2">
        <f>$B$39+C39/12</f>
        <v>3</v>
      </c>
      <c r="E39">
        <f t="shared" si="3"/>
        <v>0.5</v>
      </c>
      <c r="F39" s="3">
        <f t="shared" si="4"/>
        <v>3</v>
      </c>
      <c r="G39" s="3">
        <f t="shared" si="0"/>
        <v>0</v>
      </c>
      <c r="H39" t="str">
        <f t="shared" si="1"/>
        <v>○</v>
      </c>
      <c r="J39">
        <v>4</v>
      </c>
      <c r="K39">
        <f t="shared" si="6"/>
        <v>1.0271840943094632</v>
      </c>
    </row>
    <row r="40" spans="2:11">
      <c r="B40">
        <f t="shared" si="5"/>
        <v>3</v>
      </c>
      <c r="C40">
        <v>1</v>
      </c>
      <c r="D40" s="2">
        <f t="shared" ref="D40:D50" si="9">$B$39+C40/12</f>
        <v>3.0833333333333335</v>
      </c>
      <c r="E40">
        <f t="shared" si="3"/>
        <v>0.3975836176504331</v>
      </c>
      <c r="F40" s="3">
        <f t="shared" si="4"/>
        <v>3.0340326306840453</v>
      </c>
      <c r="G40" s="3"/>
      <c r="J40">
        <v>5</v>
      </c>
      <c r="K40">
        <f t="shared" si="6"/>
        <v>1.0216480109333539</v>
      </c>
    </row>
    <row r="41" spans="2:11">
      <c r="B41">
        <f t="shared" si="5"/>
        <v>3</v>
      </c>
      <c r="C41">
        <v>2</v>
      </c>
      <c r="D41" s="2">
        <f t="shared" si="9"/>
        <v>3.1666666666666665</v>
      </c>
      <c r="E41">
        <f t="shared" si="3"/>
        <v>0.31283295818900125</v>
      </c>
      <c r="F41" s="3">
        <f t="shared" si="4"/>
        <v>3.0535561731379199</v>
      </c>
      <c r="G41" s="3"/>
      <c r="J41">
        <v>6</v>
      </c>
      <c r="K41">
        <f t="shared" si="6"/>
        <v>1.0179834128765954</v>
      </c>
    </row>
    <row r="42" spans="2:11">
      <c r="B42">
        <f t="shared" si="5"/>
        <v>3</v>
      </c>
      <c r="C42">
        <v>3</v>
      </c>
      <c r="D42" s="2">
        <f t="shared" si="9"/>
        <v>3.25</v>
      </c>
      <c r="E42">
        <f t="shared" si="3"/>
        <v>0.25</v>
      </c>
      <c r="F42" s="3">
        <f t="shared" si="4"/>
        <v>3.0641990058943414</v>
      </c>
      <c r="G42" s="3"/>
      <c r="J42">
        <v>7</v>
      </c>
      <c r="K42">
        <f t="shared" si="6"/>
        <v>1.0153791067878806</v>
      </c>
    </row>
    <row r="43" spans="2:11">
      <c r="B43">
        <f t="shared" si="5"/>
        <v>3</v>
      </c>
      <c r="C43">
        <v>4</v>
      </c>
      <c r="D43" s="2">
        <f t="shared" si="9"/>
        <v>3.3333333333333335</v>
      </c>
      <c r="E43">
        <f t="shared" si="3"/>
        <v>0.20483276469913336</v>
      </c>
      <c r="F43" s="3">
        <f t="shared" si="4"/>
        <v>3.0701336526307941</v>
      </c>
      <c r="G43" s="3"/>
      <c r="J43">
        <v>8</v>
      </c>
      <c r="K43">
        <f t="shared" si="6"/>
        <v>1.0134333063752401</v>
      </c>
    </row>
    <row r="44" spans="2:11">
      <c r="B44">
        <f t="shared" si="5"/>
        <v>3</v>
      </c>
      <c r="C44">
        <v>5</v>
      </c>
      <c r="D44" s="2">
        <f t="shared" si="9"/>
        <v>3.4166666666666665</v>
      </c>
      <c r="E44">
        <f t="shared" si="3"/>
        <v>0.17202086962263069</v>
      </c>
      <c r="F44" s="3">
        <f t="shared" si="4"/>
        <v>3.0736237921523535</v>
      </c>
      <c r="G44" s="3"/>
      <c r="J44">
        <v>9</v>
      </c>
      <c r="K44">
        <f t="shared" si="6"/>
        <v>1.0119243842507113</v>
      </c>
    </row>
    <row r="45" spans="2:11">
      <c r="B45">
        <f t="shared" si="5"/>
        <v>3</v>
      </c>
      <c r="C45">
        <v>6</v>
      </c>
      <c r="D45" s="2">
        <f t="shared" si="9"/>
        <v>3.5</v>
      </c>
      <c r="E45">
        <f t="shared" si="3"/>
        <v>0.14758361765043326</v>
      </c>
      <c r="F45" s="3">
        <f t="shared" si="4"/>
        <v>3.0757977723155872</v>
      </c>
      <c r="G45" s="3"/>
      <c r="J45" s="6">
        <v>10</v>
      </c>
      <c r="K45" s="6">
        <f t="shared" si="6"/>
        <v>1.0107201041439151</v>
      </c>
    </row>
    <row r="46" spans="2:11">
      <c r="B46">
        <f t="shared" si="5"/>
        <v>3</v>
      </c>
      <c r="C46">
        <v>7</v>
      </c>
      <c r="D46" s="2">
        <f t="shared" si="9"/>
        <v>3.5833333333333335</v>
      </c>
      <c r="E46">
        <f t="shared" si="3"/>
        <v>0.12888105840915659</v>
      </c>
      <c r="F46" s="3">
        <f t="shared" si="4"/>
        <v>3.0772243343991317</v>
      </c>
      <c r="G46" s="3"/>
    </row>
    <row r="47" spans="2:11">
      <c r="B47">
        <f t="shared" si="5"/>
        <v>3</v>
      </c>
      <c r="C47">
        <v>8</v>
      </c>
      <c r="D47" s="2">
        <f t="shared" si="9"/>
        <v>3.6666666666666665</v>
      </c>
      <c r="E47">
        <f t="shared" si="3"/>
        <v>0.11420025121990812</v>
      </c>
      <c r="F47" s="3">
        <f t="shared" si="4"/>
        <v>3.0782031210794898</v>
      </c>
      <c r="G47" s="3"/>
    </row>
    <row r="48" spans="2:11">
      <c r="B48">
        <f t="shared" si="5"/>
        <v>3</v>
      </c>
      <c r="C48">
        <v>9</v>
      </c>
      <c r="D48" s="2">
        <f t="shared" si="9"/>
        <v>3.75</v>
      </c>
      <c r="E48">
        <f t="shared" si="3"/>
        <v>0.10241638234956668</v>
      </c>
      <c r="F48" s="3">
        <f t="shared" si="4"/>
        <v>3.0789003592096433</v>
      </c>
      <c r="G48" s="3"/>
    </row>
    <row r="49" spans="2:7">
      <c r="B49">
        <f t="shared" si="5"/>
        <v>3</v>
      </c>
      <c r="C49">
        <v>10</v>
      </c>
      <c r="D49" s="2">
        <f t="shared" si="9"/>
        <v>3.8333333333333335</v>
      </c>
      <c r="E49">
        <f t="shared" si="3"/>
        <v>9.2773579077742307E-2</v>
      </c>
      <c r="F49" s="3">
        <f t="shared" si="4"/>
        <v>3.0794129540006816</v>
      </c>
      <c r="G49" s="3"/>
    </row>
    <row r="50" spans="2:7">
      <c r="B50">
        <f t="shared" si="5"/>
        <v>3</v>
      </c>
      <c r="C50">
        <v>11</v>
      </c>
      <c r="D50" s="2">
        <f t="shared" si="9"/>
        <v>3.9166666666666665</v>
      </c>
      <c r="E50">
        <f t="shared" si="3"/>
        <v>8.4750659461432065E-2</v>
      </c>
      <c r="F50" s="3">
        <f t="shared" si="4"/>
        <v>3.0797999852659359</v>
      </c>
      <c r="G50" s="3"/>
    </row>
    <row r="51" spans="2:7">
      <c r="B51">
        <f t="shared" si="5"/>
        <v>4</v>
      </c>
      <c r="C51">
        <v>0</v>
      </c>
      <c r="D51" s="2">
        <f>$B$51+C51/12</f>
        <v>4</v>
      </c>
      <c r="E51">
        <f t="shared" si="3"/>
        <v>7.7979130377369255E-2</v>
      </c>
      <c r="F51" s="3">
        <f t="shared" si="4"/>
        <v>3.0800989224117177</v>
      </c>
      <c r="G51" s="3"/>
    </row>
    <row r="52" spans="2:7">
      <c r="B52">
        <f t="shared" si="5"/>
        <v>4</v>
      </c>
      <c r="C52">
        <v>1</v>
      </c>
      <c r="D52" s="2">
        <f t="shared" ref="D52:D62" si="10">$B$51+C52/12</f>
        <v>4.083333333333333</v>
      </c>
      <c r="E52">
        <f t="shared" si="3"/>
        <v>7.2192315510647254E-2</v>
      </c>
      <c r="F52" s="3">
        <f t="shared" si="4"/>
        <v>3.0803343647425661</v>
      </c>
    </row>
    <row r="53" spans="2:7">
      <c r="B53">
        <f t="shared" si="5"/>
        <v>4</v>
      </c>
      <c r="C53">
        <v>2</v>
      </c>
      <c r="D53" s="2">
        <f t="shared" si="10"/>
        <v>4.166666666666667</v>
      </c>
      <c r="E53">
        <f t="shared" si="3"/>
        <v>6.7193094872289416E-2</v>
      </c>
      <c r="F53" s="3">
        <f t="shared" si="4"/>
        <v>3.0805229580169495</v>
      </c>
    </row>
    <row r="54" spans="2:7">
      <c r="B54">
        <f t="shared" si="5"/>
        <v>4</v>
      </c>
      <c r="C54">
        <v>3</v>
      </c>
      <c r="D54" s="2">
        <f t="shared" si="10"/>
        <v>4.25</v>
      </c>
      <c r="E54">
        <f t="shared" si="3"/>
        <v>6.2832958189001142E-2</v>
      </c>
      <c r="F54" s="3">
        <f t="shared" si="4"/>
        <v>3.0806762690626917</v>
      </c>
    </row>
    <row r="55" spans="2:7">
      <c r="B55">
        <f t="shared" si="5"/>
        <v>4</v>
      </c>
      <c r="C55">
        <v>4</v>
      </c>
      <c r="D55" s="2">
        <f t="shared" si="10"/>
        <v>4.333333333333333</v>
      </c>
      <c r="E55">
        <f t="shared" si="3"/>
        <v>5.89980848675285E-2</v>
      </c>
      <c r="F55" s="3">
        <f t="shared" si="4"/>
        <v>3.0808025258275267</v>
      </c>
    </row>
    <row r="56" spans="2:7">
      <c r="B56">
        <f t="shared" si="5"/>
        <v>4</v>
      </c>
      <c r="C56">
        <v>5</v>
      </c>
      <c r="D56" s="2">
        <f t="shared" si="10"/>
        <v>4.416666666666667</v>
      </c>
      <c r="E56">
        <f t="shared" si="3"/>
        <v>5.5599887785785174E-2</v>
      </c>
      <c r="F56" s="3">
        <f t="shared" si="4"/>
        <v>3.0809077038701784</v>
      </c>
    </row>
    <row r="57" spans="2:7">
      <c r="B57">
        <f t="shared" si="5"/>
        <v>4</v>
      </c>
      <c r="C57">
        <v>6</v>
      </c>
      <c r="D57" s="2">
        <f t="shared" si="10"/>
        <v>4.5</v>
      </c>
      <c r="E57">
        <f t="shared" si="3"/>
        <v>5.2568456711253375E-2</v>
      </c>
      <c r="F57" s="3">
        <f t="shared" si="4"/>
        <v>3.0809962238942927</v>
      </c>
    </row>
    <row r="58" spans="2:7">
      <c r="B58">
        <f t="shared" si="5"/>
        <v>4</v>
      </c>
      <c r="C58">
        <v>7</v>
      </c>
      <c r="D58" s="2">
        <f t="shared" si="10"/>
        <v>4.583333333333333</v>
      </c>
      <c r="E58">
        <f t="shared" si="3"/>
        <v>4.9847925638313251E-2</v>
      </c>
      <c r="F58" s="3">
        <f t="shared" si="4"/>
        <v>3.0810714108874939</v>
      </c>
    </row>
    <row r="59" spans="2:7">
      <c r="B59">
        <f t="shared" si="5"/>
        <v>4</v>
      </c>
      <c r="C59">
        <v>8</v>
      </c>
      <c r="D59" s="2">
        <f t="shared" si="10"/>
        <v>4.666666666666667</v>
      </c>
      <c r="E59">
        <f t="shared" si="3"/>
        <v>4.7393142277489586E-2</v>
      </c>
      <c r="F59" s="3">
        <f t="shared" si="4"/>
        <v>3.0811358032113043</v>
      </c>
    </row>
    <row r="60" spans="2:7">
      <c r="B60">
        <f t="shared" si="5"/>
        <v>4</v>
      </c>
      <c r="C60">
        <v>9</v>
      </c>
      <c r="D60" s="2">
        <f t="shared" si="10"/>
        <v>4.75</v>
      </c>
      <c r="E60">
        <f t="shared" si="3"/>
        <v>4.5167235300866526E-2</v>
      </c>
      <c r="F60" s="3">
        <f t="shared" si="4"/>
        <v>3.0811913649487201</v>
      </c>
    </row>
    <row r="61" spans="2:7">
      <c r="B61">
        <f t="shared" si="5"/>
        <v>4</v>
      </c>
      <c r="C61">
        <v>10</v>
      </c>
      <c r="D61" s="2">
        <f t="shared" si="10"/>
        <v>4.833333333333333</v>
      </c>
      <c r="E61">
        <f t="shared" si="3"/>
        <v>4.3139811213474044E-2</v>
      </c>
      <c r="F61" s="3">
        <f t="shared" si="4"/>
        <v>3.0812396345016548</v>
      </c>
    </row>
    <row r="62" spans="2:7">
      <c r="B62">
        <f t="shared" si="5"/>
        <v>4</v>
      </c>
      <c r="C62">
        <v>11</v>
      </c>
      <c r="D62" s="2">
        <f t="shared" si="10"/>
        <v>4.916666666666667</v>
      </c>
      <c r="E62">
        <f t="shared" si="3"/>
        <v>4.1285599839847198E-2</v>
      </c>
      <c r="F62" s="3">
        <f t="shared" si="4"/>
        <v>3.0812818303357399</v>
      </c>
    </row>
    <row r="63" spans="2:7">
      <c r="B63">
        <f t="shared" si="5"/>
        <v>5</v>
      </c>
      <c r="C63">
        <v>0</v>
      </c>
      <c r="D63" s="2">
        <f>$B$63+C63/12</f>
        <v>5</v>
      </c>
      <c r="E63">
        <f t="shared" si="3"/>
        <v>3.9583424160565539E-2</v>
      </c>
      <c r="F63" s="3">
        <f t="shared" si="4"/>
        <v>3.0813189273920756</v>
      </c>
    </row>
    <row r="64" spans="2:7">
      <c r="B64">
        <f t="shared" si="5"/>
        <v>5</v>
      </c>
      <c r="C64">
        <v>1</v>
      </c>
      <c r="D64" s="2">
        <f t="shared" ref="D64:D74" si="11">$B$63+C64/12</f>
        <v>5.083333333333333</v>
      </c>
      <c r="E64">
        <f t="shared" si="3"/>
        <v>3.80154078479496E-2</v>
      </c>
      <c r="F64" s="3">
        <f t="shared" si="4"/>
        <v>3.0813517130835435</v>
      </c>
    </row>
    <row r="65" spans="2:6">
      <c r="B65">
        <f t="shared" si="5"/>
        <v>5</v>
      </c>
      <c r="C65">
        <v>2</v>
      </c>
      <c r="D65" s="2">
        <f t="shared" si="11"/>
        <v>5.166666666666667</v>
      </c>
      <c r="E65">
        <f t="shared" si="3"/>
        <v>3.6566359195433329E-2</v>
      </c>
      <c r="F65" s="3">
        <f t="shared" si="4"/>
        <v>3.0813808288634372</v>
      </c>
    </row>
    <row r="66" spans="2:6">
      <c r="B66">
        <f t="shared" si="5"/>
        <v>5</v>
      </c>
      <c r="C66">
        <v>3</v>
      </c>
      <c r="D66" s="2">
        <f t="shared" si="11"/>
        <v>5.25</v>
      </c>
      <c r="E66">
        <f t="shared" si="3"/>
        <v>3.5223287477277265E-2</v>
      </c>
      <c r="F66" s="3">
        <f t="shared" si="4"/>
        <v>3.0814068014533849</v>
      </c>
    </row>
    <row r="67" spans="2:6">
      <c r="B67">
        <f t="shared" si="5"/>
        <v>5</v>
      </c>
      <c r="C67">
        <v>4</v>
      </c>
      <c r="D67" s="2">
        <f t="shared" si="11"/>
        <v>5.333333333333333</v>
      </c>
      <c r="E67">
        <f t="shared" si="3"/>
        <v>3.3975019812696683E-2</v>
      </c>
      <c r="F67" s="3">
        <f t="shared" si="4"/>
        <v>3.0814300665627186</v>
      </c>
    </row>
    <row r="68" spans="2:6">
      <c r="B68">
        <f t="shared" si="5"/>
        <v>5</v>
      </c>
      <c r="C68">
        <v>5</v>
      </c>
      <c r="D68" s="2">
        <f t="shared" si="11"/>
        <v>5.416666666666667</v>
      </c>
      <c r="E68">
        <f t="shared" ref="E68:E117" si="12">(-1/(PI())*ATAN($N$3*(D68-$I$8))+1/2)</f>
        <v>3.2811895076502784E-2</v>
      </c>
      <c r="F68" s="3">
        <f t="shared" ref="F68:F117" si="13">$O$3*E68*(D68-$I$8)+$I$8</f>
        <v>3.0814509870896085</v>
      </c>
    </row>
    <row r="69" spans="2:6">
      <c r="B69">
        <f t="shared" ref="B69:B99" si="14">IF(C69=0,B68+1,B68)</f>
        <v>5</v>
      </c>
      <c r="C69">
        <v>6</v>
      </c>
      <c r="D69" s="2">
        <f t="shared" si="11"/>
        <v>5.5</v>
      </c>
      <c r="E69">
        <f t="shared" si="12"/>
        <v>3.1725517430553518E-2</v>
      </c>
      <c r="F69" s="3">
        <f t="shared" si="13"/>
        <v>3.0814698672210055</v>
      </c>
    </row>
    <row r="70" spans="2:6">
      <c r="B70">
        <f t="shared" si="14"/>
        <v>5</v>
      </c>
      <c r="C70">
        <v>7</v>
      </c>
      <c r="D70" s="2">
        <f t="shared" si="11"/>
        <v>5.583333333333333</v>
      </c>
      <c r="E70">
        <f t="shared" si="12"/>
        <v>3.0708556398089837E-2</v>
      </c>
      <c r="F70" s="3">
        <f t="shared" si="13"/>
        <v>3.0814869634525843</v>
      </c>
    </row>
    <row r="71" spans="2:6">
      <c r="B71">
        <f t="shared" si="14"/>
        <v>5</v>
      </c>
      <c r="C71">
        <v>8</v>
      </c>
      <c r="D71" s="2">
        <f t="shared" si="11"/>
        <v>5.666666666666667</v>
      </c>
      <c r="E71">
        <f t="shared" si="12"/>
        <v>2.9754583571417692E-2</v>
      </c>
      <c r="F71" s="3">
        <f t="shared" si="13"/>
        <v>3.0815024932729651</v>
      </c>
    </row>
    <row r="72" spans="2:6">
      <c r="B72">
        <f t="shared" si="14"/>
        <v>5</v>
      </c>
      <c r="C72">
        <v>9</v>
      </c>
      <c r="D72" s="2">
        <f t="shared" si="11"/>
        <v>5.75</v>
      </c>
      <c r="E72">
        <f t="shared" si="12"/>
        <v>2.8857938376304459E-2</v>
      </c>
      <c r="F72" s="3">
        <f t="shared" si="13"/>
        <v>3.0815166420604321</v>
      </c>
    </row>
    <row r="73" spans="2:6">
      <c r="B73">
        <f t="shared" si="14"/>
        <v>5</v>
      </c>
      <c r="C73">
        <v>10</v>
      </c>
      <c r="D73" s="2">
        <f t="shared" si="11"/>
        <v>5.833333333333333</v>
      </c>
      <c r="E73">
        <f t="shared" si="12"/>
        <v>2.8013617050949458E-2</v>
      </c>
      <c r="F73" s="3">
        <f t="shared" si="13"/>
        <v>3.0815295685999664</v>
      </c>
    </row>
    <row r="74" spans="2:6">
      <c r="B74">
        <f t="shared" si="14"/>
        <v>5</v>
      </c>
      <c r="C74">
        <v>11</v>
      </c>
      <c r="D74" s="2">
        <f t="shared" si="11"/>
        <v>5.916666666666667</v>
      </c>
      <c r="E74">
        <f t="shared" si="12"/>
        <v>2.7217180298820864E-2</v>
      </c>
      <c r="F74" s="3">
        <f t="shared" si="13"/>
        <v>3.0815414095267966</v>
      </c>
    </row>
    <row r="75" spans="2:6">
      <c r="B75">
        <f t="shared" si="14"/>
        <v>6</v>
      </c>
      <c r="C75">
        <v>0</v>
      </c>
      <c r="D75" s="2">
        <f>$B75+C75/12</f>
        <v>6</v>
      </c>
      <c r="E75">
        <f t="shared" si="12"/>
        <v>2.6464676059589853E-2</v>
      </c>
      <c r="F75" s="3">
        <f t="shared" si="13"/>
        <v>3.0815522829283895</v>
      </c>
    </row>
    <row r="76" spans="2:6">
      <c r="B76">
        <f t="shared" si="14"/>
        <v>7</v>
      </c>
      <c r="D76" s="2">
        <f t="shared" ref="D76:D98" si="15">$B76+C76/12</f>
        <v>7</v>
      </c>
      <c r="E76">
        <f t="shared" si="12"/>
        <v>1.9868524305540813E-2</v>
      </c>
      <c r="F76" s="3">
        <f t="shared" si="13"/>
        <v>3.0816345285762101</v>
      </c>
    </row>
    <row r="77" spans="2:6">
      <c r="B77">
        <f t="shared" si="14"/>
        <v>8</v>
      </c>
      <c r="D77" s="2">
        <f t="shared" si="15"/>
        <v>8</v>
      </c>
      <c r="E77">
        <f t="shared" si="12"/>
        <v>1.5902251256176336E-2</v>
      </c>
      <c r="F77" s="3">
        <f t="shared" si="13"/>
        <v>3.0816726977702853</v>
      </c>
    </row>
    <row r="78" spans="2:6">
      <c r="B78">
        <f t="shared" si="14"/>
        <v>9</v>
      </c>
      <c r="D78" s="2">
        <f t="shared" si="15"/>
        <v>9</v>
      </c>
      <c r="E78">
        <f t="shared" si="12"/>
        <v>1.3255244613271155E-2</v>
      </c>
      <c r="F78" s="3">
        <f t="shared" si="13"/>
        <v>3.0816934585975999</v>
      </c>
    </row>
    <row r="79" spans="2:6">
      <c r="B79">
        <f t="shared" si="14"/>
        <v>10</v>
      </c>
      <c r="D79" s="2">
        <f t="shared" si="15"/>
        <v>10</v>
      </c>
      <c r="E79">
        <f t="shared" si="12"/>
        <v>1.1363380493817909E-2</v>
      </c>
      <c r="F79" s="3">
        <f t="shared" si="13"/>
        <v>3.0817059859058533</v>
      </c>
    </row>
    <row r="80" spans="2:6">
      <c r="B80">
        <f t="shared" si="14"/>
        <v>11</v>
      </c>
      <c r="D80" s="2">
        <f t="shared" si="15"/>
        <v>11</v>
      </c>
      <c r="E80">
        <f t="shared" si="12"/>
        <v>9.9439478235892054E-3</v>
      </c>
      <c r="F80" s="3">
        <f t="shared" si="13"/>
        <v>3.0817141203122724</v>
      </c>
    </row>
    <row r="81" spans="2:6">
      <c r="B81">
        <f t="shared" si="14"/>
        <v>12</v>
      </c>
      <c r="D81" s="2">
        <f t="shared" si="15"/>
        <v>12</v>
      </c>
      <c r="E81">
        <f t="shared" si="12"/>
        <v>8.8396681733032278E-3</v>
      </c>
      <c r="F81" s="3">
        <f t="shared" si="13"/>
        <v>3.0817196989193159</v>
      </c>
    </row>
    <row r="82" spans="2:6">
      <c r="B82">
        <f t="shared" si="14"/>
        <v>13</v>
      </c>
      <c r="D82" s="2">
        <f t="shared" si="15"/>
        <v>13</v>
      </c>
      <c r="E82">
        <f t="shared" si="12"/>
        <v>7.9560899120257877E-3</v>
      </c>
      <c r="F82" s="3">
        <f t="shared" si="13"/>
        <v>3.0817236901052887</v>
      </c>
    </row>
    <row r="83" spans="2:6">
      <c r="B83">
        <f t="shared" si="14"/>
        <v>14</v>
      </c>
      <c r="D83" s="2">
        <f t="shared" si="15"/>
        <v>14</v>
      </c>
      <c r="E83">
        <f t="shared" si="12"/>
        <v>7.2330704032159687E-3</v>
      </c>
      <c r="F83" s="3">
        <f t="shared" si="13"/>
        <v>3.0817266435832438</v>
      </c>
    </row>
    <row r="84" spans="2:6">
      <c r="B84">
        <f t="shared" si="14"/>
        <v>15</v>
      </c>
      <c r="D84" s="2">
        <f t="shared" si="15"/>
        <v>15</v>
      </c>
      <c r="E84">
        <f t="shared" si="12"/>
        <v>6.6304967999001319E-3</v>
      </c>
      <c r="F84" s="3">
        <f t="shared" si="13"/>
        <v>3.0817288902027267</v>
      </c>
    </row>
    <row r="85" spans="2:6">
      <c r="B85">
        <f t="shared" si="14"/>
        <v>16</v>
      </c>
      <c r="D85" s="2">
        <f t="shared" si="15"/>
        <v>16</v>
      </c>
      <c r="E85">
        <f t="shared" si="12"/>
        <v>6.1205895289242473E-3</v>
      </c>
      <c r="F85" s="3">
        <f t="shared" si="13"/>
        <v>3.0817306387548045</v>
      </c>
    </row>
    <row r="86" spans="2:6">
      <c r="B86">
        <f t="shared" si="14"/>
        <v>17</v>
      </c>
      <c r="D86" s="2">
        <f t="shared" si="15"/>
        <v>17</v>
      </c>
      <c r="E86">
        <f t="shared" si="12"/>
        <v>5.6835010481545711E-3</v>
      </c>
      <c r="F86" s="3">
        <f t="shared" si="13"/>
        <v>3.0817320262731775</v>
      </c>
    </row>
    <row r="87" spans="2:6">
      <c r="B87">
        <f t="shared" si="14"/>
        <v>18</v>
      </c>
      <c r="D87" s="2">
        <f t="shared" si="15"/>
        <v>18</v>
      </c>
      <c r="E87">
        <f t="shared" si="12"/>
        <v>5.3046736326232136E-3</v>
      </c>
      <c r="F87" s="3">
        <f t="shared" si="13"/>
        <v>3.0817331457140007</v>
      </c>
    </row>
    <row r="88" spans="2:6">
      <c r="B88">
        <f t="shared" si="14"/>
        <v>19</v>
      </c>
      <c r="D88" s="2">
        <f t="shared" si="15"/>
        <v>19</v>
      </c>
      <c r="E88">
        <f t="shared" si="12"/>
        <v>4.9731872789504084E-3</v>
      </c>
      <c r="F88" s="3">
        <f t="shared" si="13"/>
        <v>3.0817340619353604</v>
      </c>
    </row>
    <row r="89" spans="2:6">
      <c r="B89">
        <f t="shared" si="14"/>
        <v>20</v>
      </c>
      <c r="D89" s="2">
        <f t="shared" si="15"/>
        <v>20</v>
      </c>
      <c r="E89">
        <f t="shared" si="12"/>
        <v>4.6806903374467246E-3</v>
      </c>
      <c r="F89" s="3">
        <f t="shared" si="13"/>
        <v>3.0817348213052256</v>
      </c>
    </row>
    <row r="90" spans="2:6">
      <c r="B90">
        <f t="shared" si="14"/>
        <v>21</v>
      </c>
      <c r="D90" s="2">
        <f t="shared" si="15"/>
        <v>21</v>
      </c>
      <c r="E90">
        <f t="shared" si="12"/>
        <v>4.4206864041070326E-3</v>
      </c>
      <c r="F90" s="3">
        <f t="shared" si="13"/>
        <v>3.0817354576841192</v>
      </c>
    </row>
    <row r="91" spans="2:6">
      <c r="B91">
        <f t="shared" si="14"/>
        <v>22</v>
      </c>
      <c r="D91" s="2">
        <f t="shared" si="15"/>
        <v>22</v>
      </c>
      <c r="E91">
        <f t="shared" si="12"/>
        <v>4.1880462948375996E-3</v>
      </c>
      <c r="F91" s="3">
        <f t="shared" si="13"/>
        <v>3.0817359962654884</v>
      </c>
    </row>
    <row r="92" spans="2:6">
      <c r="B92">
        <f t="shared" si="14"/>
        <v>23</v>
      </c>
      <c r="D92" s="2">
        <f t="shared" si="15"/>
        <v>23</v>
      </c>
      <c r="E92">
        <f t="shared" si="12"/>
        <v>3.978666363724459E-3</v>
      </c>
      <c r="F92" s="3">
        <f t="shared" si="13"/>
        <v>3.0817364561076368</v>
      </c>
    </row>
    <row r="93" spans="2:6">
      <c r="B93">
        <f t="shared" si="14"/>
        <v>24</v>
      </c>
      <c r="D93" s="2">
        <f t="shared" si="15"/>
        <v>24</v>
      </c>
      <c r="E93">
        <f t="shared" si="12"/>
        <v>3.7892244065146907E-3</v>
      </c>
      <c r="F93" s="3">
        <f t="shared" si="13"/>
        <v>3.0817368518429631</v>
      </c>
    </row>
    <row r="94" spans="2:6">
      <c r="B94">
        <f t="shared" si="14"/>
        <v>25</v>
      </c>
      <c r="D94" s="2">
        <f t="shared" si="15"/>
        <v>25</v>
      </c>
      <c r="E94">
        <f t="shared" si="12"/>
        <v>3.6170021123860252E-3</v>
      </c>
      <c r="F94" s="3">
        <f t="shared" si="13"/>
        <v>3.0817371948563865</v>
      </c>
    </row>
    <row r="95" spans="2:6">
      <c r="B95">
        <f t="shared" si="14"/>
        <v>26</v>
      </c>
      <c r="D95" s="2">
        <f t="shared" si="15"/>
        <v>26</v>
      </c>
      <c r="E95">
        <f t="shared" si="12"/>
        <v>3.4597538178128828E-3</v>
      </c>
      <c r="F95" s="3">
        <f t="shared" si="13"/>
        <v>3.081737494113328</v>
      </c>
    </row>
    <row r="96" spans="2:6">
      <c r="B96">
        <f t="shared" si="14"/>
        <v>27</v>
      </c>
      <c r="D96" s="2">
        <f t="shared" si="15"/>
        <v>27</v>
      </c>
      <c r="E96">
        <f t="shared" si="12"/>
        <v>3.3156080623842898E-3</v>
      </c>
      <c r="F96" s="3">
        <f t="shared" si="13"/>
        <v>3.0817377567514885</v>
      </c>
    </row>
    <row r="97" spans="2:6">
      <c r="B97">
        <f t="shared" si="14"/>
        <v>28</v>
      </c>
      <c r="D97" s="2">
        <f t="shared" si="15"/>
        <v>28</v>
      </c>
      <c r="E97">
        <f t="shared" si="12"/>
        <v>3.1829927649081879E-3</v>
      </c>
      <c r="F97" s="3">
        <f t="shared" si="13"/>
        <v>3.0817379885103948</v>
      </c>
    </row>
    <row r="98" spans="2:6">
      <c r="B98">
        <f t="shared" si="14"/>
        <v>29</v>
      </c>
      <c r="D98" s="2">
        <f t="shared" si="15"/>
        <v>29</v>
      </c>
      <c r="E98">
        <f t="shared" si="12"/>
        <v>3.06057766232537E-3</v>
      </c>
      <c r="F98" s="3">
        <f t="shared" si="13"/>
        <v>3.0817381940476261</v>
      </c>
    </row>
    <row r="99" spans="2:6">
      <c r="B99">
        <f t="shared" si="14"/>
        <v>30</v>
      </c>
      <c r="D99" s="2">
        <f>$B99+C99/12</f>
        <v>30</v>
      </c>
      <c r="E99">
        <f t="shared" si="12"/>
        <v>2.9472295370767121E-3</v>
      </c>
      <c r="F99" s="3">
        <f t="shared" si="13"/>
        <v>3.0817383771746343</v>
      </c>
    </row>
    <row r="100" spans="2:6">
      <c r="B100">
        <v>35</v>
      </c>
      <c r="D100" s="2">
        <f>$B100+C100/12</f>
        <v>35</v>
      </c>
      <c r="E100">
        <f t="shared" si="12"/>
        <v>2.4867453936696648E-3</v>
      </c>
      <c r="F100" s="3">
        <f t="shared" si="13"/>
        <v>3.0817390500791939</v>
      </c>
    </row>
    <row r="101" spans="2:6">
      <c r="B101">
        <v>40</v>
      </c>
      <c r="D101" s="2">
        <f>$B101+C101/12</f>
        <v>40</v>
      </c>
      <c r="E101">
        <f t="shared" si="12"/>
        <v>2.1507097452830859E-3</v>
      </c>
      <c r="F101" s="3">
        <f t="shared" si="13"/>
        <v>3.0817394691477524</v>
      </c>
    </row>
    <row r="102" spans="2:6">
      <c r="B102">
        <v>45</v>
      </c>
      <c r="D102" s="2">
        <f t="shared" ref="D102:D119" si="16">$B102+C102/12</f>
        <v>45</v>
      </c>
      <c r="E102">
        <f t="shared" si="12"/>
        <v>1.8946793269936091E-3</v>
      </c>
      <c r="F102" s="3">
        <f t="shared" si="13"/>
        <v>3.0817397476772013</v>
      </c>
    </row>
    <row r="103" spans="2:6">
      <c r="B103">
        <v>50</v>
      </c>
      <c r="D103" s="2">
        <f t="shared" si="16"/>
        <v>50</v>
      </c>
      <c r="E103">
        <f t="shared" si="12"/>
        <v>1.693121724561486E-3</v>
      </c>
      <c r="F103" s="3">
        <f t="shared" si="13"/>
        <v>3.0817399421443703</v>
      </c>
    </row>
    <row r="104" spans="2:6">
      <c r="B104">
        <v>55</v>
      </c>
      <c r="D104" s="2">
        <f t="shared" si="16"/>
        <v>55</v>
      </c>
      <c r="E104">
        <f t="shared" si="12"/>
        <v>1.5303242007512763E-3</v>
      </c>
      <c r="F104" s="3">
        <f t="shared" si="13"/>
        <v>3.0817400832637247</v>
      </c>
    </row>
    <row r="105" spans="2:6">
      <c r="B105">
        <v>60</v>
      </c>
      <c r="D105" s="2">
        <f t="shared" si="16"/>
        <v>60</v>
      </c>
      <c r="E105">
        <f t="shared" si="12"/>
        <v>1.3960870400496761E-3</v>
      </c>
      <c r="F105" s="3">
        <f t="shared" si="13"/>
        <v>3.0817401889032046</v>
      </c>
    </row>
    <row r="106" spans="2:6">
      <c r="B106">
        <v>65</v>
      </c>
      <c r="D106" s="2">
        <f t="shared" si="16"/>
        <v>65</v>
      </c>
      <c r="E106">
        <f t="shared" si="12"/>
        <v>1.2835006494192891E-3</v>
      </c>
      <c r="F106" s="3">
        <f t="shared" si="13"/>
        <v>3.0817402700314003</v>
      </c>
    </row>
    <row r="107" spans="2:6">
      <c r="B107">
        <v>70</v>
      </c>
      <c r="D107" s="2">
        <f t="shared" si="16"/>
        <v>70</v>
      </c>
      <c r="E107">
        <f t="shared" si="12"/>
        <v>1.187717943761768E-3</v>
      </c>
      <c r="F107" s="3">
        <f t="shared" si="13"/>
        <v>3.0817403336839879</v>
      </c>
    </row>
    <row r="108" spans="2:6">
      <c r="B108">
        <v>75</v>
      </c>
      <c r="D108" s="2">
        <f t="shared" si="16"/>
        <v>75</v>
      </c>
      <c r="E108">
        <f t="shared" si="12"/>
        <v>1.1052382186701459E-3</v>
      </c>
      <c r="F108" s="3">
        <f t="shared" si="13"/>
        <v>3.0817403845421447</v>
      </c>
    </row>
    <row r="109" spans="2:6">
      <c r="B109">
        <v>80</v>
      </c>
      <c r="D109" s="2">
        <f t="shared" si="16"/>
        <v>80</v>
      </c>
      <c r="E109">
        <f t="shared" si="12"/>
        <v>1.0334700250417828E-3</v>
      </c>
      <c r="F109" s="3">
        <f t="shared" si="13"/>
        <v>3.0817404258184764</v>
      </c>
    </row>
    <row r="110" spans="2:6">
      <c r="B110">
        <v>85</v>
      </c>
      <c r="D110" s="2">
        <f t="shared" si="16"/>
        <v>85</v>
      </c>
      <c r="E110">
        <f t="shared" si="12"/>
        <v>9.7045396326989053E-4</v>
      </c>
      <c r="F110" s="3">
        <f t="shared" si="13"/>
        <v>3.0817404597770937</v>
      </c>
    </row>
    <row r="111" spans="2:6">
      <c r="B111">
        <v>90</v>
      </c>
      <c r="D111" s="2">
        <f t="shared" si="16"/>
        <v>90</v>
      </c>
      <c r="E111">
        <f t="shared" si="12"/>
        <v>9.1468106337477817E-4</v>
      </c>
      <c r="F111" s="3">
        <f t="shared" si="13"/>
        <v>3.0817404880508237</v>
      </c>
    </row>
    <row r="112" spans="2:6">
      <c r="B112">
        <v>95</v>
      </c>
      <c r="D112" s="2">
        <f t="shared" si="16"/>
        <v>95</v>
      </c>
      <c r="E112">
        <f t="shared" si="12"/>
        <v>8.649703877653403E-4</v>
      </c>
      <c r="F112" s="3">
        <f t="shared" si="13"/>
        <v>3.0817405118412347</v>
      </c>
    </row>
    <row r="113" spans="2:6">
      <c r="B113">
        <v>100</v>
      </c>
      <c r="D113" s="2">
        <f t="shared" si="16"/>
        <v>100</v>
      </c>
      <c r="E113">
        <f t="shared" si="12"/>
        <v>8.2038448811172504E-4</v>
      </c>
      <c r="F113" s="3">
        <f t="shared" si="13"/>
        <v>3.0817405320484377</v>
      </c>
    </row>
    <row r="114" spans="2:6">
      <c r="B114">
        <v>105</v>
      </c>
      <c r="D114" s="2">
        <f t="shared" si="16"/>
        <v>105</v>
      </c>
      <c r="E114">
        <f t="shared" si="12"/>
        <v>7.8016972742950275E-4</v>
      </c>
      <c r="F114" s="3">
        <f t="shared" si="13"/>
        <v>3.0817405493574883</v>
      </c>
    </row>
    <row r="115" spans="2:6">
      <c r="B115">
        <v>110</v>
      </c>
      <c r="D115" s="2">
        <f t="shared" si="16"/>
        <v>110</v>
      </c>
      <c r="E115">
        <f t="shared" si="12"/>
        <v>7.4371333403883133E-4</v>
      </c>
      <c r="F115" s="3">
        <f t="shared" si="13"/>
        <v>3.0817405642972089</v>
      </c>
    </row>
    <row r="116" spans="2:6">
      <c r="B116">
        <v>115</v>
      </c>
      <c r="D116" s="2">
        <f t="shared" si="16"/>
        <v>115</v>
      </c>
      <c r="E116">
        <f t="shared" si="12"/>
        <v>7.1051195877175344E-4</v>
      </c>
      <c r="F116" s="3">
        <f t="shared" si="13"/>
        <v>3.0817405772811046</v>
      </c>
    </row>
    <row r="117" spans="2:6">
      <c r="B117">
        <v>120</v>
      </c>
      <c r="D117" s="2">
        <f t="shared" si="16"/>
        <v>120</v>
      </c>
      <c r="E117">
        <f t="shared" si="12"/>
        <v>6.8014829433388213E-4</v>
      </c>
      <c r="F117" s="3">
        <f t="shared" si="13"/>
        <v>3.0817405886362428</v>
      </c>
    </row>
    <row r="118" spans="2:6">
      <c r="D118" s="2"/>
      <c r="F118" s="3"/>
    </row>
    <row r="119" spans="2:6">
      <c r="B119">
        <v>10000000000</v>
      </c>
      <c r="D119" s="2">
        <f t="shared" si="16"/>
        <v>10000000000</v>
      </c>
      <c r="E119">
        <f>(-1/(PI())*ATAN($N$3*(D119-$I$8))+1/2)</f>
        <v>7.9577455736057345E-12</v>
      </c>
      <c r="F119" s="3">
        <f>$O$3*E119*(D119-$I$8)+$I$8</f>
        <v>3.0817406967731711</v>
      </c>
    </row>
  </sheetData>
  <sheetProtection algorithmName="SHA-512" hashValue="kQA8fFga6Kxj0L3DwoqIESOeD558dK1dPppWLtq3v/wSlKAfdA+RrlrJqw4BepPHySwjTKxrTVOzG6OQ5JXiQw==" saltValue="uEfh5zWmEVDJHTuVB7CDSQ==" spinCount="100000" sheet="1" objects="1" scenarios="1"/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0D6E0-B14E-410E-94DD-2530FCAF6660}">
  <dimension ref="A1:O119"/>
  <sheetViews>
    <sheetView topLeftCell="C36" zoomScaleNormal="100" workbookViewId="0">
      <selection activeCell="L39" sqref="L39"/>
    </sheetView>
  </sheetViews>
  <sheetFormatPr defaultRowHeight="17.649999999999999"/>
  <cols>
    <col min="2" max="2" width="10.3125" customWidth="1"/>
    <col min="9" max="9" width="13.1875" customWidth="1"/>
  </cols>
  <sheetData>
    <row r="1" spans="1:15">
      <c r="A1" t="s">
        <v>0</v>
      </c>
    </row>
    <row r="2" spans="1:15">
      <c r="B2" t="s">
        <v>1</v>
      </c>
      <c r="C2" t="s">
        <v>2</v>
      </c>
      <c r="D2" t="s">
        <v>3</v>
      </c>
      <c r="E2" t="s">
        <v>4</v>
      </c>
      <c r="F2" t="s">
        <v>5</v>
      </c>
      <c r="I2" t="s">
        <v>7</v>
      </c>
      <c r="M2" s="1" t="s">
        <v>8</v>
      </c>
      <c r="N2" t="s">
        <v>9</v>
      </c>
    </row>
    <row r="3" spans="1:15">
      <c r="B3">
        <v>0</v>
      </c>
      <c r="C3">
        <v>0</v>
      </c>
      <c r="D3" s="2">
        <f>$B$3+C3/12</f>
        <v>0</v>
      </c>
      <c r="E3">
        <f t="shared" ref="E3:E66" si="0">(-1/(PI())*ATAN($M$3*(D3-$H$8))+1/2)</f>
        <v>0.78165571851352977</v>
      </c>
      <c r="F3" s="3">
        <f t="shared" ref="F3:F66" si="1">$N$3*E3*(D3-$H$8)+$H$8</f>
        <v>0</v>
      </c>
      <c r="H3" t="s">
        <v>10</v>
      </c>
      <c r="I3" t="s">
        <v>11</v>
      </c>
      <c r="L3" s="4"/>
      <c r="M3" s="5">
        <v>0.40722517429999999</v>
      </c>
      <c r="N3">
        <f t="shared" ref="N3" si="2">(0.5+(1/(PI())*ATAN(3*M3)))^-1</f>
        <v>1.2793356158152265</v>
      </c>
    </row>
    <row r="4" spans="1:15">
      <c r="B4">
        <f>IF(C4=0,B3+1,B3)</f>
        <v>0</v>
      </c>
      <c r="C4">
        <v>1</v>
      </c>
      <c r="D4" s="2">
        <f t="shared" ref="D4:D14" si="3">$B$3+C4/12</f>
        <v>8.3333333333333329E-2</v>
      </c>
      <c r="E4">
        <f t="shared" si="0"/>
        <v>0.7772488855148878</v>
      </c>
      <c r="F4" s="3">
        <f t="shared" si="1"/>
        <v>9.9776970356995065E-2</v>
      </c>
      <c r="I4" t="s">
        <v>12</v>
      </c>
      <c r="M4" t="s">
        <v>18</v>
      </c>
    </row>
    <row r="5" spans="1:15">
      <c r="B5">
        <f t="shared" ref="B5:B68" si="4">IF(C5=0,B4+1,B4)</f>
        <v>0</v>
      </c>
      <c r="C5">
        <v>2</v>
      </c>
      <c r="D5" s="2">
        <f t="shared" si="3"/>
        <v>0.16666666666666666</v>
      </c>
      <c r="E5">
        <f t="shared" si="0"/>
        <v>0.77269220563592622</v>
      </c>
      <c r="F5" s="3">
        <f t="shared" si="1"/>
        <v>0.19915746692355363</v>
      </c>
      <c r="I5" t="s">
        <v>14</v>
      </c>
    </row>
    <row r="6" spans="1:15">
      <c r="B6">
        <f t="shared" si="4"/>
        <v>0</v>
      </c>
      <c r="C6">
        <v>3</v>
      </c>
      <c r="D6" s="2">
        <f t="shared" si="3"/>
        <v>0.25</v>
      </c>
      <c r="E6">
        <f t="shared" si="0"/>
        <v>0.76797986962032383</v>
      </c>
      <c r="F6" s="3">
        <f t="shared" si="1"/>
        <v>0.29811400155536072</v>
      </c>
      <c r="G6" s="8"/>
    </row>
    <row r="7" spans="1:15">
      <c r="B7">
        <f t="shared" si="4"/>
        <v>0</v>
      </c>
      <c r="C7">
        <v>4</v>
      </c>
      <c r="D7" s="2">
        <f t="shared" si="3"/>
        <v>0.33333333333333331</v>
      </c>
      <c r="E7">
        <f t="shared" si="0"/>
        <v>0.76310593780658209</v>
      </c>
      <c r="F7" s="3">
        <f t="shared" si="1"/>
        <v>0.39661705366389466</v>
      </c>
      <c r="G7" s="8"/>
      <c r="H7" t="s">
        <v>15</v>
      </c>
      <c r="I7" t="s">
        <v>8</v>
      </c>
      <c r="J7" t="s">
        <v>9</v>
      </c>
    </row>
    <row r="8" spans="1:15">
      <c r="B8">
        <f t="shared" si="4"/>
        <v>0</v>
      </c>
      <c r="C8">
        <v>5</v>
      </c>
      <c r="D8" s="2">
        <f t="shared" si="3"/>
        <v>0.41666666666666669</v>
      </c>
      <c r="E8">
        <f t="shared" si="0"/>
        <v>0.75806435965820973</v>
      </c>
      <c r="F8" s="3">
        <f t="shared" si="1"/>
        <v>0.49463493615681298</v>
      </c>
      <c r="G8" s="8"/>
      <c r="H8">
        <v>3</v>
      </c>
      <c r="I8" s="6">
        <v>0.1</v>
      </c>
      <c r="J8" s="6">
        <f>(0.5+(1/(PI())*ATAN(3*I8)))^-1</f>
        <v>1.6869847700631908</v>
      </c>
      <c r="O8" s="7"/>
    </row>
    <row r="9" spans="1:15">
      <c r="B9">
        <f t="shared" si="4"/>
        <v>0</v>
      </c>
      <c r="C9">
        <v>6</v>
      </c>
      <c r="D9" s="2">
        <f t="shared" si="3"/>
        <v>0.5</v>
      </c>
      <c r="E9">
        <f t="shared" si="0"/>
        <v>0.7528489981096318</v>
      </c>
      <c r="F9" s="3">
        <f t="shared" si="1"/>
        <v>0.5921336584688448</v>
      </c>
      <c r="G9" s="8"/>
      <c r="I9">
        <v>0.2</v>
      </c>
      <c r="J9">
        <f t="shared" ref="J9:J44" si="5">(0.5+(1/(PI())*ATAN(3*I9)))^-1</f>
        <v>1.4880490252654563</v>
      </c>
      <c r="O9" s="7"/>
    </row>
    <row r="10" spans="1:15">
      <c r="B10">
        <f t="shared" si="4"/>
        <v>0</v>
      </c>
      <c r="C10">
        <v>7</v>
      </c>
      <c r="D10" s="2">
        <f t="shared" si="3"/>
        <v>0.58333333333333337</v>
      </c>
      <c r="E10">
        <f t="shared" si="0"/>
        <v>0.74745365938771346</v>
      </c>
      <c r="F10" s="3">
        <f t="shared" si="1"/>
        <v>0.68907678823686513</v>
      </c>
      <c r="G10" s="8"/>
      <c r="I10">
        <v>0.3</v>
      </c>
      <c r="J10">
        <f t="shared" si="5"/>
        <v>1.363768478750963</v>
      </c>
    </row>
    <row r="11" spans="1:15">
      <c r="B11">
        <f t="shared" si="4"/>
        <v>0</v>
      </c>
      <c r="C11">
        <v>8</v>
      </c>
      <c r="D11" s="2">
        <f t="shared" si="3"/>
        <v>0.66666666666666663</v>
      </c>
      <c r="E11">
        <f t="shared" si="0"/>
        <v>0.74187212900778932</v>
      </c>
      <c r="F11" s="3">
        <f t="shared" si="1"/>
        <v>0.78542531361922219</v>
      </c>
      <c r="G11" s="8"/>
      <c r="I11">
        <v>0.4</v>
      </c>
      <c r="J11">
        <f t="shared" si="5"/>
        <v>1.2839311904359776</v>
      </c>
    </row>
    <row r="12" spans="1:15">
      <c r="B12">
        <f t="shared" si="4"/>
        <v>0</v>
      </c>
      <c r="C12">
        <v>9</v>
      </c>
      <c r="D12" s="2">
        <f t="shared" si="3"/>
        <v>0.75</v>
      </c>
      <c r="E12">
        <f t="shared" si="0"/>
        <v>0.73609821467010295</v>
      </c>
      <c r="F12" s="3">
        <f t="shared" si="1"/>
        <v>0.8811375087777038</v>
      </c>
      <c r="G12" s="8"/>
      <c r="I12">
        <v>0.5</v>
      </c>
      <c r="J12">
        <f t="shared" si="5"/>
        <v>1.2302650746692267</v>
      </c>
    </row>
    <row r="13" spans="1:15">
      <c r="B13">
        <f t="shared" si="4"/>
        <v>0</v>
      </c>
      <c r="C13">
        <v>10</v>
      </c>
      <c r="D13" s="2">
        <f t="shared" si="3"/>
        <v>0.83333333333333337</v>
      </c>
      <c r="E13">
        <f t="shared" si="0"/>
        <v>0.73012579679208012</v>
      </c>
      <c r="F13" s="3">
        <f t="shared" si="1"/>
        <v>0.97616880563324626</v>
      </c>
      <c r="G13" s="8"/>
      <c r="I13">
        <v>0.6</v>
      </c>
      <c r="J13">
        <f t="shared" si="5"/>
        <v>1.1924842021557778</v>
      </c>
    </row>
    <row r="14" spans="1:15">
      <c r="B14">
        <f t="shared" si="4"/>
        <v>0</v>
      </c>
      <c r="C14">
        <v>11</v>
      </c>
      <c r="D14" s="2">
        <f t="shared" si="3"/>
        <v>0.91666666666666663</v>
      </c>
      <c r="E14">
        <f t="shared" si="0"/>
        <v>0.72394888739721019</v>
      </c>
      <c r="F14" s="3">
        <f t="shared" si="1"/>
        <v>1.0704716756727959</v>
      </c>
      <c r="G14" s="8"/>
      <c r="I14">
        <v>0.7</v>
      </c>
      <c r="J14">
        <f t="shared" si="5"/>
        <v>1.1647722028930052</v>
      </c>
    </row>
    <row r="15" spans="1:15">
      <c r="B15">
        <f t="shared" si="4"/>
        <v>1</v>
      </c>
      <c r="C15">
        <v>0</v>
      </c>
      <c r="D15" s="2">
        <f>$B$15+C15/12</f>
        <v>1</v>
      </c>
      <c r="E15">
        <f t="shared" si="0"/>
        <v>0.71756169803464087</v>
      </c>
      <c r="F15" s="3">
        <f t="shared" si="1"/>
        <v>1.1639955263188662</v>
      </c>
      <c r="G15" s="8"/>
      <c r="I15">
        <v>0.8</v>
      </c>
      <c r="J15">
        <f t="shared" si="5"/>
        <v>1.1437275736265722</v>
      </c>
    </row>
    <row r="16" spans="1:15">
      <c r="B16">
        <f t="shared" si="4"/>
        <v>1</v>
      </c>
      <c r="C16">
        <v>1</v>
      </c>
      <c r="D16" s="2">
        <f t="shared" ref="D16:D26" si="6">$B$15+C16/12</f>
        <v>1.0833333333333333</v>
      </c>
      <c r="E16">
        <f t="shared" si="0"/>
        <v>0.71095871731589955</v>
      </c>
      <c r="F16" s="3">
        <f t="shared" si="1"/>
        <v>1.2566866171632984</v>
      </c>
      <c r="G16" s="8"/>
      <c r="I16">
        <v>0.9</v>
      </c>
      <c r="J16">
        <f t="shared" si="5"/>
        <v>1.1272766537753374</v>
      </c>
    </row>
    <row r="17" spans="2:10">
      <c r="B17">
        <f t="shared" si="4"/>
        <v>1</v>
      </c>
      <c r="C17">
        <v>2</v>
      </c>
      <c r="D17" s="2">
        <f t="shared" si="6"/>
        <v>1.1666666666666667</v>
      </c>
      <c r="E17">
        <f t="shared" si="0"/>
        <v>0.70413479851654137</v>
      </c>
      <c r="F17" s="3">
        <f t="shared" si="1"/>
        <v>1.348488002192002</v>
      </c>
      <c r="G17" s="8"/>
      <c r="I17">
        <v>1</v>
      </c>
      <c r="J17">
        <f t="shared" si="5"/>
        <v>1.114102330229308</v>
      </c>
    </row>
    <row r="18" spans="2:10">
      <c r="B18">
        <f t="shared" si="4"/>
        <v>1</v>
      </c>
      <c r="C18">
        <v>3</v>
      </c>
      <c r="D18" s="2">
        <f t="shared" si="6"/>
        <v>1.25</v>
      </c>
      <c r="E18">
        <f t="shared" si="0"/>
        <v>0.69708525749059991</v>
      </c>
      <c r="F18" s="3">
        <f t="shared" si="1"/>
        <v>1.4393395049569584</v>
      </c>
      <c r="G18" s="8"/>
      <c r="I18">
        <v>1.1000000000000001</v>
      </c>
      <c r="J18">
        <f t="shared" si="5"/>
        <v>1.1033359893515897</v>
      </c>
    </row>
    <row r="19" spans="2:10">
      <c r="B19">
        <f t="shared" si="4"/>
        <v>1</v>
      </c>
      <c r="C19">
        <v>4</v>
      </c>
      <c r="D19" s="2">
        <f t="shared" si="6"/>
        <v>1.3333333333333333</v>
      </c>
      <c r="E19">
        <f t="shared" si="0"/>
        <v>0.68980598087424161</v>
      </c>
      <c r="F19" s="3">
        <f t="shared" si="1"/>
        <v>1.529177734442043</v>
      </c>
      <c r="G19" s="8"/>
      <c r="I19">
        <v>1.2</v>
      </c>
      <c r="J19">
        <f t="shared" si="5"/>
        <v>1.0943853296117336</v>
      </c>
    </row>
    <row r="20" spans="2:10">
      <c r="B20">
        <f t="shared" si="4"/>
        <v>1</v>
      </c>
      <c r="C20">
        <v>5</v>
      </c>
      <c r="D20" s="2">
        <f t="shared" si="6"/>
        <v>1.4166666666666667</v>
      </c>
      <c r="E20">
        <f t="shared" si="0"/>
        <v>0.6822935442029302</v>
      </c>
      <c r="F20" s="3">
        <f t="shared" si="1"/>
        <v>1.6179361500622855</v>
      </c>
      <c r="G20" s="8"/>
      <c r="I20">
        <v>1.3</v>
      </c>
      <c r="J20">
        <f t="shared" si="5"/>
        <v>1.0868344142590938</v>
      </c>
    </row>
    <row r="21" spans="2:10">
      <c r="B21">
        <f t="shared" si="4"/>
        <v>1</v>
      </c>
      <c r="C21">
        <v>6</v>
      </c>
      <c r="D21" s="2">
        <f t="shared" si="6"/>
        <v>1.5</v>
      </c>
      <c r="E21">
        <f t="shared" si="0"/>
        <v>0.6745453391270666</v>
      </c>
      <c r="F21" s="3">
        <f t="shared" si="1"/>
        <v>1.7055451847588752</v>
      </c>
      <c r="G21" s="8"/>
      <c r="I21">
        <v>1.4</v>
      </c>
      <c r="J21">
        <f t="shared" si="5"/>
        <v>1.0803835215893025</v>
      </c>
    </row>
    <row r="22" spans="2:10">
      <c r="B22">
        <f t="shared" si="4"/>
        <v>1</v>
      </c>
      <c r="C22">
        <v>7</v>
      </c>
      <c r="D22" s="2">
        <f t="shared" si="6"/>
        <v>1.5833333333333335</v>
      </c>
      <c r="E22">
        <f t="shared" si="0"/>
        <v>0.66655970838203749</v>
      </c>
      <c r="F22" s="3">
        <f t="shared" si="1"/>
        <v>1.7919324354158852</v>
      </c>
      <c r="G22" s="8"/>
      <c r="I22">
        <v>1.5</v>
      </c>
      <c r="J22">
        <f t="shared" si="5"/>
        <v>1.0748117185873534</v>
      </c>
    </row>
    <row r="23" spans="2:10">
      <c r="B23">
        <f t="shared" si="4"/>
        <v>1</v>
      </c>
      <c r="C23">
        <v>8</v>
      </c>
      <c r="D23" s="2">
        <f t="shared" si="6"/>
        <v>1.6666666666666665</v>
      </c>
      <c r="E23">
        <f t="shared" si="0"/>
        <v>0.65833608655354348</v>
      </c>
      <c r="F23" s="3">
        <f t="shared" si="1"/>
        <v>1.8770229297275149</v>
      </c>
      <c r="G23" s="8"/>
      <c r="I23">
        <v>1.6</v>
      </c>
      <c r="J23">
        <f t="shared" si="5"/>
        <v>1.069952857623051</v>
      </c>
    </row>
    <row r="24" spans="2:10">
      <c r="B24">
        <f t="shared" si="4"/>
        <v>1</v>
      </c>
      <c r="C24">
        <v>9</v>
      </c>
      <c r="D24" s="2">
        <f t="shared" si="6"/>
        <v>1.75</v>
      </c>
      <c r="E24">
        <f t="shared" si="0"/>
        <v>0.64987514399003876</v>
      </c>
      <c r="F24" s="3">
        <f t="shared" si="1"/>
        <v>1.9607394780756184</v>
      </c>
      <c r="G24" s="8"/>
      <c r="I24">
        <v>1.7</v>
      </c>
      <c r="J24">
        <f t="shared" si="5"/>
        <v>1.0656797557163429</v>
      </c>
    </row>
    <row r="25" spans="2:10">
      <c r="B25">
        <f t="shared" si="4"/>
        <v>1</v>
      </c>
      <c r="C25">
        <v>10</v>
      </c>
      <c r="D25" s="2">
        <f t="shared" si="6"/>
        <v>1.8333333333333335</v>
      </c>
      <c r="E25">
        <f t="shared" si="0"/>
        <v>0.64117893047360575</v>
      </c>
      <c r="F25" s="3">
        <f t="shared" si="1"/>
        <v>2.0430031178239352</v>
      </c>
      <c r="G25" s="8"/>
      <c r="I25">
        <v>1.8</v>
      </c>
      <c r="J25">
        <f t="shared" si="5"/>
        <v>1.06189350734355</v>
      </c>
    </row>
    <row r="26" spans="2:10">
      <c r="B26">
        <f t="shared" si="4"/>
        <v>1</v>
      </c>
      <c r="C26">
        <v>11</v>
      </c>
      <c r="D26" s="2">
        <f t="shared" si="6"/>
        <v>1.9166666666666665</v>
      </c>
      <c r="E26">
        <f t="shared" si="0"/>
        <v>0.63225101450349541</v>
      </c>
      <c r="F26" s="3">
        <f t="shared" si="1"/>
        <v>2.1237336555945663</v>
      </c>
      <c r="G26" s="8"/>
      <c r="I26">
        <v>1.9</v>
      </c>
      <c r="J26">
        <f t="shared" si="5"/>
        <v>1.0585161032595618</v>
      </c>
    </row>
    <row r="27" spans="2:10">
      <c r="B27">
        <f t="shared" si="4"/>
        <v>2</v>
      </c>
      <c r="C27">
        <v>0</v>
      </c>
      <c r="D27" s="2">
        <f>$B$27+C27/12</f>
        <v>2</v>
      </c>
      <c r="E27">
        <f t="shared" si="0"/>
        <v>0.6230966133210839</v>
      </c>
      <c r="F27" s="3">
        <f t="shared" si="1"/>
        <v>2.202850310484489</v>
      </c>
      <c r="G27" s="8"/>
      <c r="I27">
        <v>2</v>
      </c>
      <c r="J27">
        <f t="shared" si="5"/>
        <v>1.0554852296016835</v>
      </c>
    </row>
    <row r="28" spans="2:10">
      <c r="B28">
        <f t="shared" si="4"/>
        <v>2</v>
      </c>
      <c r="C28">
        <v>1</v>
      </c>
      <c r="D28" s="2">
        <f t="shared" ref="D28:D38" si="7">$B$27+C28/12</f>
        <v>2.0833333333333335</v>
      </c>
      <c r="E28">
        <f t="shared" si="0"/>
        <v>0.61372270817237984</v>
      </c>
      <c r="F28" s="3">
        <f t="shared" si="1"/>
        <v>2.2802724577671247</v>
      </c>
      <c r="G28" s="8"/>
      <c r="I28">
        <v>2.1</v>
      </c>
      <c r="J28">
        <f t="shared" si="5"/>
        <v>1.0527505362573033</v>
      </c>
    </row>
    <row r="29" spans="2:10">
      <c r="B29">
        <f t="shared" si="4"/>
        <v>2</v>
      </c>
      <c r="C29">
        <v>2</v>
      </c>
      <c r="D29" s="2">
        <f t="shared" si="7"/>
        <v>2.1666666666666665</v>
      </c>
      <c r="E29">
        <f t="shared" si="0"/>
        <v>0.60413813883651579</v>
      </c>
      <c r="F29" s="3">
        <f t="shared" si="1"/>
        <v>2.3559204684284341</v>
      </c>
      <c r="G29" s="8"/>
      <c r="I29">
        <v>2.2000000000000002</v>
      </c>
      <c r="J29">
        <f t="shared" si="5"/>
        <v>1.0502709150099199</v>
      </c>
    </row>
    <row r="30" spans="2:10">
      <c r="B30">
        <f t="shared" si="4"/>
        <v>2</v>
      </c>
      <c r="C30">
        <v>3</v>
      </c>
      <c r="D30" s="2">
        <f t="shared" si="7"/>
        <v>2.25</v>
      </c>
      <c r="E30">
        <f t="shared" si="0"/>
        <v>0.59435367122426697</v>
      </c>
      <c r="F30" s="3">
        <f t="shared" si="1"/>
        <v>2.4297166350091963</v>
      </c>
      <c r="G30" s="8"/>
      <c r="I30">
        <v>2.2999999999999998</v>
      </c>
      <c r="J30">
        <f t="shared" si="5"/>
        <v>1.0480124842365717</v>
      </c>
    </row>
    <row r="31" spans="2:10">
      <c r="B31">
        <f t="shared" si="4"/>
        <v>2</v>
      </c>
      <c r="C31">
        <v>4</v>
      </c>
      <c r="D31" s="2">
        <f t="shared" si="7"/>
        <v>2.3333333333333335</v>
      </c>
      <c r="E31">
        <f t="shared" si="0"/>
        <v>0.58438203194709204</v>
      </c>
      <c r="F31" s="3">
        <f t="shared" si="1"/>
        <v>2.5015861688584091</v>
      </c>
      <c r="G31" s="8"/>
      <c r="I31">
        <v>2.4</v>
      </c>
      <c r="J31">
        <f t="shared" si="5"/>
        <v>1.0459470761662804</v>
      </c>
    </row>
    <row r="32" spans="2:10">
      <c r="B32">
        <f t="shared" si="4"/>
        <v>2</v>
      </c>
      <c r="C32">
        <v>5</v>
      </c>
      <c r="D32" s="2">
        <f t="shared" si="7"/>
        <v>2.4166666666666665</v>
      </c>
      <c r="E32">
        <f t="shared" si="0"/>
        <v>0.57423790424179844</v>
      </c>
      <c r="F32" s="3">
        <f t="shared" si="1"/>
        <v>2.5714582483388844</v>
      </c>
      <c r="G32" s="8"/>
      <c r="I32">
        <v>2.5</v>
      </c>
      <c r="J32">
        <f t="shared" si="5"/>
        <v>1.0440510870252615</v>
      </c>
    </row>
    <row r="33" spans="2:10">
      <c r="B33">
        <f t="shared" si="4"/>
        <v>2</v>
      </c>
      <c r="C33">
        <v>6</v>
      </c>
      <c r="D33" s="2">
        <f t="shared" si="7"/>
        <v>2.5</v>
      </c>
      <c r="E33">
        <f t="shared" si="0"/>
        <v>0.56393788055464777</v>
      </c>
      <c r="F33" s="3">
        <f t="shared" si="1"/>
        <v>2.6392670921495429</v>
      </c>
      <c r="G33" s="8"/>
      <c r="I33">
        <v>2.6</v>
      </c>
      <c r="J33">
        <f t="shared" si="5"/>
        <v>1.042304592866373</v>
      </c>
    </row>
    <row r="34" spans="2:10">
      <c r="B34">
        <f t="shared" si="4"/>
        <v>2</v>
      </c>
      <c r="C34">
        <v>7</v>
      </c>
      <c r="D34" s="2">
        <f t="shared" si="7"/>
        <v>2.5833333333333335</v>
      </c>
      <c r="E34">
        <f t="shared" si="0"/>
        <v>0.55350036845478001</v>
      </c>
      <c r="F34" s="3">
        <f t="shared" si="1"/>
        <v>2.7049530271953959</v>
      </c>
      <c r="G34" s="8"/>
      <c r="I34">
        <v>2.7</v>
      </c>
      <c r="J34">
        <f t="shared" si="5"/>
        <v>1.0406906624160186</v>
      </c>
    </row>
    <row r="35" spans="2:10">
      <c r="B35">
        <f t="shared" si="4"/>
        <v>2</v>
      </c>
      <c r="C35">
        <v>8</v>
      </c>
      <c r="D35" s="2">
        <f t="shared" si="7"/>
        <v>2.6666666666666665</v>
      </c>
      <c r="E35">
        <f t="shared" si="0"/>
        <v>0.54294544833109515</v>
      </c>
      <c r="F35" s="3">
        <f t="shared" si="1"/>
        <v>2.7684635168350882</v>
      </c>
      <c r="G35" s="8"/>
      <c r="I35">
        <v>2.8</v>
      </c>
      <c r="J35">
        <f t="shared" si="5"/>
        <v>1.0391948177534251</v>
      </c>
    </row>
    <row r="36" spans="2:10">
      <c r="B36">
        <f t="shared" si="4"/>
        <v>2</v>
      </c>
      <c r="C36">
        <v>9</v>
      </c>
      <c r="D36" s="2">
        <f t="shared" si="7"/>
        <v>2.75</v>
      </c>
      <c r="E36">
        <f t="shared" si="0"/>
        <v>0.53229468345175512</v>
      </c>
      <c r="F36" s="3">
        <f t="shared" si="1"/>
        <v>2.8297541133377693</v>
      </c>
      <c r="G36" s="8"/>
      <c r="I36">
        <v>2.9</v>
      </c>
      <c r="J36">
        <f t="shared" si="5"/>
        <v>1.0378046071363358</v>
      </c>
    </row>
    <row r="37" spans="2:10">
      <c r="B37">
        <f t="shared" si="4"/>
        <v>2</v>
      </c>
      <c r="C37">
        <v>10</v>
      </c>
      <c r="D37" s="2">
        <f t="shared" si="7"/>
        <v>2.8333333333333335</v>
      </c>
      <c r="E37">
        <f t="shared" si="0"/>
        <v>0.52157088530557172</v>
      </c>
      <c r="F37" s="3">
        <f t="shared" si="1"/>
        <v>2.8887892983760506</v>
      </c>
      <c r="G37" s="8"/>
      <c r="I37">
        <v>3</v>
      </c>
      <c r="J37">
        <f t="shared" si="5"/>
        <v>1.0365092637706548</v>
      </c>
    </row>
    <row r="38" spans="2:10">
      <c r="B38">
        <f t="shared" si="4"/>
        <v>2</v>
      </c>
      <c r="C38">
        <v>11</v>
      </c>
      <c r="D38" s="2">
        <f t="shared" si="7"/>
        <v>2.9166666666666665</v>
      </c>
      <c r="E38">
        <f t="shared" si="0"/>
        <v>0.51079783953313673</v>
      </c>
      <c r="F38" s="3">
        <f t="shared" si="1"/>
        <v>2.9455431776169823</v>
      </c>
      <c r="G38" s="8"/>
      <c r="I38">
        <v>4</v>
      </c>
      <c r="J38">
        <f t="shared" si="5"/>
        <v>1.0271840943094632</v>
      </c>
    </row>
    <row r="39" spans="2:10">
      <c r="B39">
        <f t="shared" si="4"/>
        <v>3</v>
      </c>
      <c r="C39">
        <v>0</v>
      </c>
      <c r="D39" s="2">
        <f>$B$39+C39/12</f>
        <v>3</v>
      </c>
      <c r="E39">
        <f t="shared" si="0"/>
        <v>0.5</v>
      </c>
      <c r="F39" s="3">
        <f t="shared" si="1"/>
        <v>3</v>
      </c>
      <c r="G39" s="8"/>
      <c r="I39">
        <v>5</v>
      </c>
      <c r="J39">
        <f t="shared" si="5"/>
        <v>1.0216480109333539</v>
      </c>
    </row>
    <row r="40" spans="2:10">
      <c r="B40">
        <f t="shared" si="4"/>
        <v>3</v>
      </c>
      <c r="C40">
        <v>1</v>
      </c>
      <c r="D40" s="2">
        <f t="shared" ref="D40:D50" si="8">$B$39+C40/12</f>
        <v>3.0833333333333335</v>
      </c>
      <c r="E40">
        <f t="shared" si="0"/>
        <v>0.48920216046686327</v>
      </c>
      <c r="F40" s="3">
        <f t="shared" si="1"/>
        <v>3.0521544789349178</v>
      </c>
      <c r="G40" s="8"/>
      <c r="I40">
        <v>6</v>
      </c>
      <c r="J40">
        <f t="shared" si="5"/>
        <v>1.0179834128765954</v>
      </c>
    </row>
    <row r="41" spans="2:10">
      <c r="B41">
        <f t="shared" si="4"/>
        <v>3</v>
      </c>
      <c r="C41">
        <v>2</v>
      </c>
      <c r="D41" s="2">
        <f t="shared" si="8"/>
        <v>3.1666666666666665</v>
      </c>
      <c r="E41">
        <f t="shared" si="0"/>
        <v>0.47842911469442828</v>
      </c>
      <c r="F41" s="3">
        <f t="shared" si="1"/>
        <v>3.1020119010119216</v>
      </c>
      <c r="G41" s="8"/>
      <c r="I41">
        <v>7</v>
      </c>
      <c r="J41">
        <f t="shared" si="5"/>
        <v>1.0153791067878806</v>
      </c>
    </row>
    <row r="42" spans="2:10">
      <c r="B42">
        <f t="shared" si="4"/>
        <v>3</v>
      </c>
      <c r="C42">
        <v>3</v>
      </c>
      <c r="D42" s="2">
        <f t="shared" si="8"/>
        <v>3.25</v>
      </c>
      <c r="E42">
        <f t="shared" si="0"/>
        <v>0.46770531654824488</v>
      </c>
      <c r="F42" s="3">
        <f t="shared" si="1"/>
        <v>3.1495880172915762</v>
      </c>
      <c r="G42" s="8"/>
      <c r="I42">
        <v>8</v>
      </c>
      <c r="J42">
        <f t="shared" si="5"/>
        <v>1.0134333063752401</v>
      </c>
    </row>
    <row r="43" spans="2:10">
      <c r="B43">
        <f t="shared" si="4"/>
        <v>3</v>
      </c>
      <c r="C43">
        <v>4</v>
      </c>
      <c r="D43" s="2">
        <f t="shared" si="8"/>
        <v>3.3333333333333335</v>
      </c>
      <c r="E43">
        <f t="shared" si="0"/>
        <v>0.45705455166890485</v>
      </c>
      <c r="F43" s="3">
        <f t="shared" si="1"/>
        <v>3.1949087221068302</v>
      </c>
      <c r="G43" s="8"/>
      <c r="I43">
        <v>9</v>
      </c>
      <c r="J43">
        <f t="shared" si="5"/>
        <v>1.0119243842507113</v>
      </c>
    </row>
    <row r="44" spans="2:10">
      <c r="B44">
        <f t="shared" si="4"/>
        <v>3</v>
      </c>
      <c r="C44">
        <v>5</v>
      </c>
      <c r="D44" s="2">
        <f t="shared" si="8"/>
        <v>3.4166666666666665</v>
      </c>
      <c r="E44">
        <f t="shared" si="0"/>
        <v>0.44649963154521993</v>
      </c>
      <c r="F44" s="3">
        <f t="shared" si="1"/>
        <v>3.2380095337850729</v>
      </c>
      <c r="G44" s="8"/>
      <c r="I44" s="6">
        <v>10</v>
      </c>
      <c r="J44" s="6">
        <f t="shared" si="5"/>
        <v>1.0107201041439151</v>
      </c>
    </row>
    <row r="45" spans="2:10">
      <c r="B45">
        <f t="shared" si="4"/>
        <v>3</v>
      </c>
      <c r="C45">
        <v>6</v>
      </c>
      <c r="D45" s="2">
        <f t="shared" si="8"/>
        <v>3.5</v>
      </c>
      <c r="E45">
        <f t="shared" si="0"/>
        <v>0.43606211944535223</v>
      </c>
      <c r="F45" s="3">
        <f t="shared" si="1"/>
        <v>3.2789349000571564</v>
      </c>
    </row>
    <row r="46" spans="2:10">
      <c r="B46">
        <f t="shared" si="4"/>
        <v>3</v>
      </c>
      <c r="C46">
        <v>7</v>
      </c>
      <c r="D46" s="2">
        <f t="shared" si="8"/>
        <v>3.5833333333333335</v>
      </c>
      <c r="E46">
        <f t="shared" si="0"/>
        <v>0.42576209575820156</v>
      </c>
      <c r="F46" s="3">
        <f t="shared" si="1"/>
        <v>3.3177373575644333</v>
      </c>
    </row>
    <row r="47" spans="2:10">
      <c r="B47">
        <f t="shared" si="4"/>
        <v>3</v>
      </c>
      <c r="C47">
        <v>8</v>
      </c>
      <c r="D47" s="2">
        <f t="shared" si="8"/>
        <v>3.6666666666666665</v>
      </c>
      <c r="E47">
        <f t="shared" si="0"/>
        <v>0.41561796805290802</v>
      </c>
      <c r="F47" s="3">
        <f t="shared" si="1"/>
        <v>3.3544765794018936</v>
      </c>
    </row>
    <row r="48" spans="2:10">
      <c r="B48">
        <f t="shared" si="4"/>
        <v>3</v>
      </c>
      <c r="C48">
        <v>9</v>
      </c>
      <c r="D48" s="2">
        <f t="shared" si="8"/>
        <v>3.75</v>
      </c>
      <c r="E48">
        <f t="shared" si="0"/>
        <v>0.40564632877573309</v>
      </c>
      <c r="F48" s="3">
        <f t="shared" si="1"/>
        <v>3.3892183468706163</v>
      </c>
    </row>
    <row r="49" spans="2:6">
      <c r="B49">
        <f t="shared" si="4"/>
        <v>3</v>
      </c>
      <c r="C49">
        <v>10</v>
      </c>
      <c r="D49" s="2">
        <f t="shared" si="8"/>
        <v>3.8333333333333335</v>
      </c>
      <c r="E49">
        <f t="shared" si="0"/>
        <v>0.39586186116348426</v>
      </c>
      <c r="F49" s="3">
        <f t="shared" si="1"/>
        <v>3.42203348160779</v>
      </c>
    </row>
    <row r="50" spans="2:6">
      <c r="B50">
        <f t="shared" si="4"/>
        <v>3</v>
      </c>
      <c r="C50">
        <v>11</v>
      </c>
      <c r="D50" s="2">
        <f t="shared" si="8"/>
        <v>3.9166666666666665</v>
      </c>
      <c r="E50">
        <f t="shared" si="0"/>
        <v>0.38627729182762016</v>
      </c>
      <c r="F50" s="3">
        <f t="shared" si="1"/>
        <v>3.4529967722644157</v>
      </c>
    </row>
    <row r="51" spans="2:6">
      <c r="B51">
        <f t="shared" si="4"/>
        <v>4</v>
      </c>
      <c r="C51">
        <v>0</v>
      </c>
      <c r="D51" s="2">
        <f>$B$51+C51/12</f>
        <v>4</v>
      </c>
      <c r="E51">
        <f t="shared" si="0"/>
        <v>0.37690338667891604</v>
      </c>
      <c r="F51" s="3">
        <f t="shared" si="1"/>
        <v>3.4821859262997155</v>
      </c>
    </row>
    <row r="52" spans="2:6">
      <c r="B52">
        <f t="shared" si="4"/>
        <v>4</v>
      </c>
      <c r="C52">
        <v>1</v>
      </c>
      <c r="D52" s="2">
        <f t="shared" ref="D52:D62" si="9">$B$51+C52/12</f>
        <v>4.083333333333333</v>
      </c>
      <c r="E52">
        <f t="shared" si="0"/>
        <v>0.3677489854965047</v>
      </c>
      <c r="F52" s="3">
        <f t="shared" si="1"/>
        <v>3.5096805727277287</v>
      </c>
    </row>
    <row r="53" spans="2:6">
      <c r="B53">
        <f t="shared" si="4"/>
        <v>4</v>
      </c>
      <c r="C53">
        <v>2</v>
      </c>
      <c r="D53" s="2">
        <f t="shared" si="9"/>
        <v>4.166666666666667</v>
      </c>
      <c r="E53">
        <f t="shared" si="0"/>
        <v>0.35882106952639414</v>
      </c>
      <c r="F53" s="3">
        <f t="shared" si="1"/>
        <v>3.5355613362750322</v>
      </c>
    </row>
    <row r="54" spans="2:6">
      <c r="B54">
        <f t="shared" si="4"/>
        <v>4</v>
      </c>
      <c r="C54">
        <v>3</v>
      </c>
      <c r="D54" s="2">
        <f t="shared" si="9"/>
        <v>4.25</v>
      </c>
      <c r="E54">
        <f t="shared" si="0"/>
        <v>0.35012485600996124</v>
      </c>
      <c r="F54" s="3">
        <f t="shared" si="1"/>
        <v>3.5599089978446514</v>
      </c>
    </row>
    <row r="55" spans="2:6">
      <c r="B55">
        <f t="shared" si="4"/>
        <v>4</v>
      </c>
      <c r="C55">
        <v>4</v>
      </c>
      <c r="D55" s="2">
        <f t="shared" si="9"/>
        <v>4.333333333333333</v>
      </c>
      <c r="E55">
        <f t="shared" si="0"/>
        <v>0.34166391344645658</v>
      </c>
      <c r="F55" s="3">
        <f t="shared" si="1"/>
        <v>3.5828037508144837</v>
      </c>
    </row>
    <row r="56" spans="2:6">
      <c r="B56">
        <f t="shared" si="4"/>
        <v>4</v>
      </c>
      <c r="C56">
        <v>5</v>
      </c>
      <c r="D56" s="2">
        <f t="shared" si="9"/>
        <v>4.416666666666667</v>
      </c>
      <c r="E56">
        <f t="shared" si="0"/>
        <v>0.33344029161796246</v>
      </c>
      <c r="F56" s="3">
        <f t="shared" si="1"/>
        <v>3.6043245578207892</v>
      </c>
    </row>
    <row r="57" spans="2:6">
      <c r="B57">
        <f t="shared" si="4"/>
        <v>4</v>
      </c>
      <c r="C57">
        <v>6</v>
      </c>
      <c r="D57" s="2">
        <f t="shared" si="9"/>
        <v>4.5</v>
      </c>
      <c r="E57">
        <f t="shared" si="0"/>
        <v>0.32545466087293334</v>
      </c>
      <c r="F57" s="3">
        <f t="shared" si="1"/>
        <v>3.6245486084817147</v>
      </c>
    </row>
    <row r="58" spans="2:6">
      <c r="B58">
        <f t="shared" si="4"/>
        <v>4</v>
      </c>
      <c r="C58">
        <v>7</v>
      </c>
      <c r="D58" s="2">
        <f t="shared" si="9"/>
        <v>4.583333333333333</v>
      </c>
      <c r="E58">
        <f t="shared" si="0"/>
        <v>0.3177064557970698</v>
      </c>
      <c r="F58" s="3">
        <f t="shared" si="1"/>
        <v>3.6435508751030605</v>
      </c>
    </row>
    <row r="59" spans="2:6">
      <c r="B59">
        <f t="shared" si="4"/>
        <v>4</v>
      </c>
      <c r="C59">
        <v>8</v>
      </c>
      <c r="D59" s="2">
        <f t="shared" si="9"/>
        <v>4.666666666666667</v>
      </c>
      <c r="E59">
        <f t="shared" si="0"/>
        <v>0.31019401912575828</v>
      </c>
      <c r="F59" s="3">
        <f t="shared" si="1"/>
        <v>3.6614037608007539</v>
      </c>
    </row>
    <row r="60" spans="2:6">
      <c r="B60">
        <f t="shared" si="4"/>
        <v>4</v>
      </c>
      <c r="C60">
        <v>9</v>
      </c>
      <c r="D60" s="2">
        <f t="shared" si="9"/>
        <v>4.75</v>
      </c>
      <c r="E60">
        <f t="shared" si="0"/>
        <v>0.30291474250940015</v>
      </c>
      <c r="F60" s="3">
        <f t="shared" si="1"/>
        <v>3.6781768326336048</v>
      </c>
    </row>
    <row r="61" spans="2:6">
      <c r="B61">
        <f t="shared" si="4"/>
        <v>4</v>
      </c>
      <c r="C61">
        <v>10</v>
      </c>
      <c r="D61" s="2">
        <f t="shared" si="9"/>
        <v>4.833333333333333</v>
      </c>
      <c r="E61">
        <f t="shared" si="0"/>
        <v>0.29586520148345874</v>
      </c>
      <c r="F61" s="3">
        <f t="shared" si="1"/>
        <v>3.6939366311865838</v>
      </c>
    </row>
    <row r="62" spans="2:6">
      <c r="B62">
        <f t="shared" si="4"/>
        <v>4</v>
      </c>
      <c r="C62">
        <v>11</v>
      </c>
      <c r="D62" s="2">
        <f t="shared" si="9"/>
        <v>4.916666666666667</v>
      </c>
      <c r="E62">
        <f t="shared" si="0"/>
        <v>0.28904128268410045</v>
      </c>
      <c r="F62" s="3">
        <f t="shared" si="1"/>
        <v>3.7087465474758163</v>
      </c>
    </row>
    <row r="63" spans="2:6">
      <c r="B63">
        <f t="shared" si="4"/>
        <v>5</v>
      </c>
      <c r="C63">
        <v>0</v>
      </c>
      <c r="D63" s="2">
        <f>$B$63+C63/12</f>
        <v>5</v>
      </c>
      <c r="E63">
        <f t="shared" si="0"/>
        <v>0.28243830196535907</v>
      </c>
      <c r="F63" s="3">
        <f t="shared" si="1"/>
        <v>3.7226667579493191</v>
      </c>
    </row>
    <row r="64" spans="2:6">
      <c r="B64">
        <f t="shared" si="4"/>
        <v>5</v>
      </c>
      <c r="C64">
        <v>1</v>
      </c>
      <c r="D64" s="2">
        <f t="shared" ref="D64:D74" si="10">$B$63+C64/12</f>
        <v>5.083333333333333</v>
      </c>
      <c r="E64">
        <f t="shared" si="0"/>
        <v>0.27605111260278981</v>
      </c>
      <c r="F64" s="3">
        <f t="shared" si="1"/>
        <v>3.7357542086211843</v>
      </c>
    </row>
    <row r="65" spans="2:6">
      <c r="B65">
        <f t="shared" si="4"/>
        <v>5</v>
      </c>
      <c r="C65">
        <v>2</v>
      </c>
      <c r="D65" s="2">
        <f t="shared" si="10"/>
        <v>5.166666666666667</v>
      </c>
      <c r="E65">
        <f t="shared" si="0"/>
        <v>0.26987420320791983</v>
      </c>
      <c r="F65" s="3">
        <f t="shared" si="1"/>
        <v>3.7480626398995702</v>
      </c>
    </row>
    <row r="66" spans="2:6">
      <c r="B66">
        <f t="shared" si="4"/>
        <v>5</v>
      </c>
      <c r="C66">
        <v>3</v>
      </c>
      <c r="D66" s="2">
        <f t="shared" si="10"/>
        <v>5.25</v>
      </c>
      <c r="E66">
        <f t="shared" si="0"/>
        <v>0.26390178532989711</v>
      </c>
      <c r="F66" s="3">
        <f t="shared" si="1"/>
        <v>3.7596426443619637</v>
      </c>
    </row>
    <row r="67" spans="2:6">
      <c r="B67">
        <f t="shared" si="4"/>
        <v>5</v>
      </c>
      <c r="C67">
        <v>4</v>
      </c>
      <c r="D67" s="2">
        <f t="shared" si="10"/>
        <v>5.333333333333333</v>
      </c>
      <c r="E67">
        <f t="shared" ref="E67:E117" si="11">(-1/(PI())*ATAN($M$3*(D67-$H$8))+1/2)</f>
        <v>0.25812787099221068</v>
      </c>
      <c r="F67" s="3">
        <f t="shared" ref="F67:F117" si="12">$N$3*E67*(D67-$H$8)+$H$8</f>
        <v>3.7705417505214172</v>
      </c>
    </row>
    <row r="68" spans="2:6">
      <c r="B68">
        <f t="shared" si="4"/>
        <v>5</v>
      </c>
      <c r="C68">
        <v>5</v>
      </c>
      <c r="D68" s="2">
        <f t="shared" si="10"/>
        <v>5.416666666666667</v>
      </c>
      <c r="E68">
        <f t="shared" si="11"/>
        <v>0.25254634061228642</v>
      </c>
      <c r="F68" s="3">
        <f t="shared" si="12"/>
        <v>3.7808045264569952</v>
      </c>
    </row>
    <row r="69" spans="2:6">
      <c r="B69">
        <f t="shared" ref="B69:B99" si="13">IF(C69=0,B68+1,B68)</f>
        <v>5</v>
      </c>
      <c r="C69">
        <v>6</v>
      </c>
      <c r="D69" s="2">
        <f t="shared" si="10"/>
        <v>5.5</v>
      </c>
      <c r="E69">
        <f t="shared" si="11"/>
        <v>0.24715100189036815</v>
      </c>
      <c r="F69" s="3">
        <f t="shared" si="12"/>
        <v>3.7904726980069108</v>
      </c>
    </row>
    <row r="70" spans="2:6">
      <c r="B70">
        <f t="shared" si="13"/>
        <v>5</v>
      </c>
      <c r="C70">
        <v>7</v>
      </c>
      <c r="D70" s="2">
        <f t="shared" si="10"/>
        <v>5.583333333333333</v>
      </c>
      <c r="E70">
        <f t="shared" si="11"/>
        <v>0.24193564034179027</v>
      </c>
      <c r="F70" s="3">
        <f t="shared" si="12"/>
        <v>3.7995852770128149</v>
      </c>
    </row>
    <row r="71" spans="2:6">
      <c r="B71">
        <f t="shared" si="13"/>
        <v>5</v>
      </c>
      <c r="C71">
        <v>8</v>
      </c>
      <c r="D71" s="2">
        <f t="shared" si="10"/>
        <v>5.666666666666667</v>
      </c>
      <c r="E71">
        <f t="shared" si="11"/>
        <v>0.23689406219341785</v>
      </c>
      <c r="F71" s="3">
        <f t="shared" si="12"/>
        <v>3.8081786958378316</v>
      </c>
    </row>
    <row r="72" spans="2:6">
      <c r="B72">
        <f t="shared" si="13"/>
        <v>5</v>
      </c>
      <c r="C72">
        <v>9</v>
      </c>
      <c r="D72" s="2">
        <f t="shared" si="10"/>
        <v>5.75</v>
      </c>
      <c r="E72">
        <f t="shared" si="11"/>
        <v>0.23202013037967617</v>
      </c>
      <c r="F72" s="3">
        <f t="shared" si="12"/>
        <v>3.8162869450472332</v>
      </c>
    </row>
    <row r="73" spans="2:6">
      <c r="B73">
        <f t="shared" si="13"/>
        <v>5</v>
      </c>
      <c r="C73">
        <v>10</v>
      </c>
      <c r="D73" s="2">
        <f t="shared" si="10"/>
        <v>5.833333333333333</v>
      </c>
      <c r="E73">
        <f t="shared" si="11"/>
        <v>0.22730779436407372</v>
      </c>
      <c r="F73" s="3">
        <f t="shared" si="12"/>
        <v>3.8239417117333621</v>
      </c>
    </row>
    <row r="74" spans="2:6">
      <c r="B74">
        <f t="shared" si="13"/>
        <v>5</v>
      </c>
      <c r="C74">
        <v>11</v>
      </c>
      <c r="D74" s="2">
        <f t="shared" si="10"/>
        <v>5.916666666666667</v>
      </c>
      <c r="E74">
        <f t="shared" si="11"/>
        <v>0.2227511144851122</v>
      </c>
      <c r="F74" s="3">
        <f t="shared" si="12"/>
        <v>3.831172516484739</v>
      </c>
    </row>
    <row r="75" spans="2:6">
      <c r="B75">
        <f t="shared" si="13"/>
        <v>6</v>
      </c>
      <c r="C75">
        <v>0</v>
      </c>
      <c r="D75" s="2">
        <f>$B75+C75/12</f>
        <v>6</v>
      </c>
      <c r="E75">
        <f t="shared" si="11"/>
        <v>0.21834428148647023</v>
      </c>
      <c r="F75" s="3">
        <f t="shared" si="12"/>
        <v>3.8380068474456799</v>
      </c>
    </row>
    <row r="76" spans="2:6">
      <c r="B76">
        <f t="shared" si="13"/>
        <v>7</v>
      </c>
      <c r="D76" s="2">
        <f t="shared" ref="D76:D98" si="14">$B76+C76/12</f>
        <v>7</v>
      </c>
      <c r="E76">
        <f t="shared" si="11"/>
        <v>0.1752567788775074</v>
      </c>
      <c r="F76" s="3">
        <f t="shared" si="12"/>
        <v>3.8968489565241957</v>
      </c>
    </row>
    <row r="77" spans="2:6">
      <c r="B77">
        <f t="shared" si="13"/>
        <v>8</v>
      </c>
      <c r="D77" s="2">
        <f t="shared" si="14"/>
        <v>8</v>
      </c>
      <c r="E77">
        <f t="shared" si="11"/>
        <v>0.14531657173167767</v>
      </c>
      <c r="F77" s="3">
        <f t="shared" si="12"/>
        <v>3.929543328922517</v>
      </c>
    </row>
    <row r="78" spans="2:6">
      <c r="B78">
        <f t="shared" si="13"/>
        <v>9</v>
      </c>
      <c r="D78" s="2">
        <f t="shared" si="14"/>
        <v>9</v>
      </c>
      <c r="E78">
        <f t="shared" si="11"/>
        <v>0.12365560205260467</v>
      </c>
      <c r="F78" s="3">
        <f t="shared" si="12"/>
        <v>3.9491820948058294</v>
      </c>
    </row>
    <row r="79" spans="2:6">
      <c r="B79">
        <f t="shared" si="13"/>
        <v>10</v>
      </c>
      <c r="D79" s="2">
        <f t="shared" si="14"/>
        <v>10</v>
      </c>
      <c r="E79">
        <f t="shared" si="11"/>
        <v>0.10739550065395875</v>
      </c>
      <c r="F79" s="3">
        <f t="shared" si="12"/>
        <v>3.9617642227544181</v>
      </c>
    </row>
    <row r="80" spans="2:6">
      <c r="B80">
        <f t="shared" si="13"/>
        <v>11</v>
      </c>
      <c r="D80" s="2">
        <f t="shared" si="14"/>
        <v>11</v>
      </c>
      <c r="E80">
        <f t="shared" si="11"/>
        <v>9.4800862374976758E-2</v>
      </c>
      <c r="F80" s="3">
        <f t="shared" si="12"/>
        <v>3.9702569571704434</v>
      </c>
    </row>
    <row r="81" spans="2:6">
      <c r="B81">
        <f t="shared" si="13"/>
        <v>12</v>
      </c>
      <c r="D81" s="2">
        <f t="shared" si="14"/>
        <v>12</v>
      </c>
      <c r="E81">
        <f t="shared" si="11"/>
        <v>8.4786817088519484E-2</v>
      </c>
      <c r="F81" s="3">
        <f t="shared" si="12"/>
        <v>3.9762371536765864</v>
      </c>
    </row>
    <row r="82" spans="2:6">
      <c r="B82">
        <f t="shared" si="13"/>
        <v>13</v>
      </c>
      <c r="D82" s="2">
        <f t="shared" si="14"/>
        <v>13</v>
      </c>
      <c r="E82">
        <f t="shared" si="11"/>
        <v>7.6648903011275138E-2</v>
      </c>
      <c r="F82" s="3">
        <f t="shared" si="12"/>
        <v>3.9805967153549124</v>
      </c>
    </row>
    <row r="83" spans="2:6">
      <c r="B83">
        <f t="shared" si="13"/>
        <v>14</v>
      </c>
      <c r="D83" s="2">
        <f t="shared" si="14"/>
        <v>14</v>
      </c>
      <c r="E83">
        <f t="shared" si="11"/>
        <v>6.9913250262575999E-2</v>
      </c>
      <c r="F83" s="3">
        <f t="shared" si="12"/>
        <v>3.9838676218614841</v>
      </c>
    </row>
    <row r="84" spans="2:6">
      <c r="B84">
        <f t="shared" si="13"/>
        <v>15</v>
      </c>
      <c r="D84" s="2">
        <f t="shared" si="14"/>
        <v>15</v>
      </c>
      <c r="E84">
        <f t="shared" si="11"/>
        <v>6.4250914465177777E-2</v>
      </c>
      <c r="F84" s="3">
        <f t="shared" si="12"/>
        <v>3.9863817986879959</v>
      </c>
    </row>
    <row r="85" spans="2:6">
      <c r="B85">
        <f t="shared" si="13"/>
        <v>16</v>
      </c>
      <c r="D85" s="2">
        <f t="shared" si="14"/>
        <v>16</v>
      </c>
      <c r="E85">
        <f t="shared" si="11"/>
        <v>5.9427147385179568E-2</v>
      </c>
      <c r="F85" s="3">
        <f t="shared" si="12"/>
        <v>3.988354460550092</v>
      </c>
    </row>
    <row r="86" spans="2:6">
      <c r="B86">
        <f t="shared" si="13"/>
        <v>17</v>
      </c>
      <c r="D86" s="2">
        <f t="shared" si="14"/>
        <v>17</v>
      </c>
      <c r="E86">
        <f t="shared" si="11"/>
        <v>5.5270308013811109E-2</v>
      </c>
      <c r="F86" s="3">
        <f t="shared" si="12"/>
        <v>3.9899298295480481</v>
      </c>
    </row>
    <row r="87" spans="2:6">
      <c r="B87">
        <f t="shared" si="13"/>
        <v>18</v>
      </c>
      <c r="D87" s="2">
        <f t="shared" si="14"/>
        <v>18</v>
      </c>
      <c r="E87">
        <f t="shared" si="11"/>
        <v>5.1652193034883109E-2</v>
      </c>
      <c r="F87" s="3">
        <f t="shared" si="12"/>
        <v>3.9912073527673373</v>
      </c>
    </row>
    <row r="88" spans="2:6">
      <c r="B88">
        <f t="shared" si="13"/>
        <v>19</v>
      </c>
      <c r="D88" s="2">
        <f t="shared" si="14"/>
        <v>19</v>
      </c>
      <c r="E88">
        <f t="shared" si="11"/>
        <v>4.8475226120401338E-2</v>
      </c>
      <c r="F88" s="3">
        <f t="shared" si="12"/>
        <v>3.9922573321684158</v>
      </c>
    </row>
    <row r="89" spans="2:6">
      <c r="B89">
        <f t="shared" si="13"/>
        <v>20</v>
      </c>
      <c r="D89" s="2">
        <f t="shared" si="14"/>
        <v>20</v>
      </c>
      <c r="E89">
        <f t="shared" si="11"/>
        <v>4.5663893282959334E-2</v>
      </c>
      <c r="F89" s="3">
        <f t="shared" si="12"/>
        <v>3.9931305655724847</v>
      </c>
    </row>
    <row r="90" spans="2:6">
      <c r="B90">
        <f t="shared" si="13"/>
        <v>21</v>
      </c>
      <c r="D90" s="2">
        <f t="shared" si="14"/>
        <v>21</v>
      </c>
      <c r="E90">
        <f t="shared" si="11"/>
        <v>4.3158880579639458E-2</v>
      </c>
      <c r="F90" s="3">
        <f t="shared" si="12"/>
        <v>3.9938644751564798</v>
      </c>
    </row>
    <row r="91" spans="2:6">
      <c r="B91">
        <f t="shared" si="13"/>
        <v>22</v>
      </c>
      <c r="D91" s="2">
        <f t="shared" si="14"/>
        <v>22</v>
      </c>
      <c r="E91">
        <f t="shared" si="11"/>
        <v>4.091297554902229E-2</v>
      </c>
      <c r="F91" s="3">
        <f t="shared" si="12"/>
        <v>3.9944871086079932</v>
      </c>
    </row>
    <row r="92" spans="2:6">
      <c r="B92">
        <f t="shared" si="13"/>
        <v>23</v>
      </c>
      <c r="D92" s="2">
        <f t="shared" si="14"/>
        <v>23</v>
      </c>
      <c r="E92">
        <f t="shared" si="11"/>
        <v>3.8888146398301682E-2</v>
      </c>
      <c r="F92" s="3">
        <f t="shared" si="12"/>
        <v>3.9950198144076792</v>
      </c>
    </row>
    <row r="93" spans="2:6">
      <c r="B93">
        <f t="shared" si="13"/>
        <v>24</v>
      </c>
      <c r="D93" s="2">
        <f t="shared" si="14"/>
        <v>24</v>
      </c>
      <c r="E93">
        <f t="shared" si="11"/>
        <v>3.7053424150144176E-2</v>
      </c>
      <c r="F93" s="3">
        <f t="shared" si="12"/>
        <v>3.9954790692669371</v>
      </c>
    </row>
    <row r="94" spans="2:6">
      <c r="B94">
        <f t="shared" si="13"/>
        <v>25</v>
      </c>
      <c r="D94" s="2">
        <f t="shared" si="14"/>
        <v>25</v>
      </c>
      <c r="E94">
        <f t="shared" si="11"/>
        <v>3.5383342672444862E-2</v>
      </c>
      <c r="F94" s="3">
        <f t="shared" si="12"/>
        <v>3.9958777507239756</v>
      </c>
    </row>
    <row r="95" spans="2:6">
      <c r="B95">
        <f t="shared" si="13"/>
        <v>26</v>
      </c>
      <c r="D95" s="2">
        <f t="shared" si="14"/>
        <v>26</v>
      </c>
      <c r="E95">
        <f t="shared" si="11"/>
        <v>3.3856773056345046E-2</v>
      </c>
      <c r="F95" s="3">
        <f t="shared" si="12"/>
        <v>3.996226038973778</v>
      </c>
    </row>
    <row r="96" spans="2:6">
      <c r="B96">
        <f t="shared" si="13"/>
        <v>27</v>
      </c>
      <c r="D96" s="2">
        <f t="shared" si="14"/>
        <v>27</v>
      </c>
      <c r="E96">
        <f t="shared" si="11"/>
        <v>3.2456041175791761E-2</v>
      </c>
      <c r="F96" s="3">
        <f t="shared" si="12"/>
        <v>3.9965320661893418</v>
      </c>
    </row>
    <row r="97" spans="2:6">
      <c r="B97">
        <f t="shared" si="13"/>
        <v>28</v>
      </c>
      <c r="D97" s="2">
        <f t="shared" si="14"/>
        <v>28</v>
      </c>
      <c r="E97">
        <f t="shared" si="11"/>
        <v>3.1166251562050495E-2</v>
      </c>
      <c r="F97" s="3">
        <f t="shared" si="12"/>
        <v>3.9968023908697035</v>
      </c>
    </row>
    <row r="98" spans="2:6">
      <c r="B98">
        <f t="shared" si="13"/>
        <v>29</v>
      </c>
      <c r="D98" s="2">
        <f t="shared" si="14"/>
        <v>29</v>
      </c>
      <c r="E98">
        <f t="shared" si="11"/>
        <v>2.9974763603858701E-2</v>
      </c>
      <c r="F98" s="3">
        <f t="shared" si="12"/>
        <v>3.9970423490055187</v>
      </c>
    </row>
    <row r="99" spans="2:6">
      <c r="B99">
        <f t="shared" si="13"/>
        <v>30</v>
      </c>
      <c r="D99" s="2">
        <f>$B99+C99/12</f>
        <v>30</v>
      </c>
      <c r="E99">
        <f t="shared" si="11"/>
        <v>2.8870781600134343E-2</v>
      </c>
      <c r="F99" s="3">
        <f t="shared" si="12"/>
        <v>3.9972563172518192</v>
      </c>
    </row>
    <row r="100" spans="2:6">
      <c r="B100">
        <v>35</v>
      </c>
      <c r="D100" s="2">
        <f>$B100+C100/12</f>
        <v>35</v>
      </c>
      <c r="E100">
        <f t="shared" si="11"/>
        <v>2.4378961402424182E-2</v>
      </c>
      <c r="F100" s="3">
        <f t="shared" si="12"/>
        <v>3.9980439551585913</v>
      </c>
    </row>
    <row r="101" spans="2:6">
      <c r="B101">
        <v>40</v>
      </c>
      <c r="D101" s="2">
        <f>$B101+C101/12</f>
        <v>40</v>
      </c>
      <c r="E101">
        <f t="shared" si="11"/>
        <v>2.1094893516759916E-2</v>
      </c>
      <c r="F101" s="3">
        <f t="shared" si="12"/>
        <v>3.9985355977493651</v>
      </c>
    </row>
    <row r="102" spans="2:6">
      <c r="B102">
        <v>45</v>
      </c>
      <c r="D102" s="2">
        <f t="shared" ref="D102:D119" si="15">$B102+C102/12</f>
        <v>45</v>
      </c>
      <c r="E102">
        <f t="shared" si="11"/>
        <v>1.8589686932202698E-2</v>
      </c>
      <c r="F102" s="3">
        <f t="shared" si="12"/>
        <v>3.9988628403273161</v>
      </c>
    </row>
    <row r="103" spans="2:6">
      <c r="B103">
        <v>50</v>
      </c>
      <c r="D103" s="2">
        <f t="shared" si="15"/>
        <v>50</v>
      </c>
      <c r="E103">
        <f t="shared" si="11"/>
        <v>1.6615864247687406E-2</v>
      </c>
      <c r="F103" s="3">
        <f t="shared" si="12"/>
        <v>3.9990915452220164</v>
      </c>
    </row>
    <row r="104" spans="2:6">
      <c r="B104">
        <v>55</v>
      </c>
      <c r="D104" s="2">
        <f t="shared" si="15"/>
        <v>55</v>
      </c>
      <c r="E104">
        <f t="shared" si="11"/>
        <v>1.5020681504484268E-2</v>
      </c>
      <c r="F104" s="3">
        <f t="shared" si="12"/>
        <v>3.9992576267701958</v>
      </c>
    </row>
    <row r="105" spans="2:6">
      <c r="B105">
        <v>60</v>
      </c>
      <c r="D105" s="2">
        <f t="shared" si="15"/>
        <v>60</v>
      </c>
      <c r="E105">
        <f t="shared" si="11"/>
        <v>1.3704783657620956E-2</v>
      </c>
      <c r="F105" s="3">
        <f t="shared" si="12"/>
        <v>3.9993820168935068</v>
      </c>
    </row>
    <row r="106" spans="2:6">
      <c r="B106">
        <v>65</v>
      </c>
      <c r="D106" s="2">
        <f t="shared" si="15"/>
        <v>65</v>
      </c>
      <c r="E106">
        <f t="shared" si="11"/>
        <v>1.2600763998404096E-2</v>
      </c>
      <c r="F106" s="3">
        <f t="shared" si="12"/>
        <v>3.99947758251772</v>
      </c>
    </row>
    <row r="107" spans="2:6">
      <c r="B107">
        <v>70</v>
      </c>
      <c r="D107" s="2">
        <f t="shared" si="15"/>
        <v>70</v>
      </c>
      <c r="E107">
        <f t="shared" si="11"/>
        <v>1.1661283497498565E-2</v>
      </c>
      <c r="F107" s="3">
        <f t="shared" si="12"/>
        <v>3.9995525853993739</v>
      </c>
    </row>
    <row r="108" spans="2:6">
      <c r="B108">
        <v>75</v>
      </c>
      <c r="D108" s="2">
        <f t="shared" si="15"/>
        <v>75</v>
      </c>
      <c r="E108">
        <f t="shared" si="11"/>
        <v>1.0852122887196225E-2</v>
      </c>
      <c r="F108" s="3">
        <f t="shared" si="12"/>
        <v>3.999612526809146</v>
      </c>
    </row>
    <row r="109" spans="2:6">
      <c r="B109">
        <v>80</v>
      </c>
      <c r="D109" s="2">
        <f t="shared" si="15"/>
        <v>80</v>
      </c>
      <c r="E109">
        <f t="shared" si="11"/>
        <v>1.0147933525203268E-2</v>
      </c>
      <c r="F109" s="3">
        <f t="shared" si="12"/>
        <v>3.9996611845002787</v>
      </c>
    </row>
    <row r="110" spans="2:6">
      <c r="B110">
        <v>85</v>
      </c>
      <c r="D110" s="2">
        <f t="shared" si="15"/>
        <v>85</v>
      </c>
      <c r="E110">
        <f t="shared" si="11"/>
        <v>9.5295387454727432E-3</v>
      </c>
      <c r="F110" s="3">
        <f t="shared" si="12"/>
        <v>3.9997012221887034</v>
      </c>
    </row>
    <row r="111" spans="2:6">
      <c r="B111">
        <v>90</v>
      </c>
      <c r="D111" s="2">
        <f t="shared" si="15"/>
        <v>90</v>
      </c>
      <c r="E111">
        <f t="shared" si="11"/>
        <v>8.9821636451538622E-3</v>
      </c>
      <c r="F111" s="3">
        <f t="shared" si="12"/>
        <v>3.9997345616743667</v>
      </c>
    </row>
    <row r="112" spans="2:6">
      <c r="B112">
        <v>95</v>
      </c>
      <c r="D112" s="2">
        <f t="shared" si="15"/>
        <v>95</v>
      </c>
      <c r="E112">
        <f t="shared" si="11"/>
        <v>8.4942409482302028E-3</v>
      </c>
      <c r="F112" s="3">
        <f t="shared" si="12"/>
        <v>3.9997626176436039</v>
      </c>
    </row>
    <row r="113" spans="2:6">
      <c r="B113">
        <v>100</v>
      </c>
      <c r="D113" s="2">
        <f t="shared" si="15"/>
        <v>100</v>
      </c>
      <c r="E113">
        <f t="shared" si="11"/>
        <v>8.0565855262830222E-3</v>
      </c>
      <c r="F113" s="3">
        <f t="shared" si="12"/>
        <v>3.9997864501466269</v>
      </c>
    </row>
    <row r="114" spans="2:6">
      <c r="B114">
        <v>105</v>
      </c>
      <c r="D114" s="2">
        <f t="shared" si="15"/>
        <v>105</v>
      </c>
      <c r="E114">
        <f t="shared" si="11"/>
        <v>7.6618113170509039E-3</v>
      </c>
      <c r="F114" s="3">
        <f t="shared" si="12"/>
        <v>3.9998068661550579</v>
      </c>
    </row>
    <row r="115" spans="2:6">
      <c r="B115">
        <v>110</v>
      </c>
      <c r="D115" s="2">
        <f t="shared" si="15"/>
        <v>110</v>
      </c>
      <c r="E115">
        <f t="shared" si="11"/>
        <v>7.3039114872546773E-3</v>
      </c>
      <c r="F115" s="3">
        <f t="shared" si="12"/>
        <v>3.9998244887435348</v>
      </c>
    </row>
    <row r="116" spans="2:6">
      <c r="B116">
        <v>115</v>
      </c>
      <c r="D116" s="2">
        <f t="shared" si="15"/>
        <v>115</v>
      </c>
      <c r="E116">
        <f t="shared" si="11"/>
        <v>6.9779509045728161E-3</v>
      </c>
      <c r="F116" s="3">
        <f t="shared" si="12"/>
        <v>3.9998398051745689</v>
      </c>
    </row>
    <row r="117" spans="2:6">
      <c r="B117">
        <v>120</v>
      </c>
      <c r="D117" s="2">
        <f t="shared" si="15"/>
        <v>120</v>
      </c>
      <c r="E117">
        <f t="shared" si="11"/>
        <v>6.6798373690717949E-3</v>
      </c>
      <c r="F117" s="3">
        <f t="shared" si="12"/>
        <v>3.9998532009305223</v>
      </c>
    </row>
    <row r="118" spans="2:6">
      <c r="D118" s="2"/>
      <c r="F118" s="3"/>
    </row>
    <row r="119" spans="2:6">
      <c r="B119">
        <v>10000000000</v>
      </c>
      <c r="D119" s="2">
        <f t="shared" si="15"/>
        <v>10000000000</v>
      </c>
      <c r="E119">
        <f>(-1/(PI())*ATAN($M$3*(D119-$H$8))+1/2)</f>
        <v>7.8165529604490303E-11</v>
      </c>
      <c r="F119" s="3">
        <f>$N$3*E119*(D119-$H$8)+$H$8</f>
        <v>3.9999994592208394</v>
      </c>
    </row>
  </sheetData>
  <sheetProtection algorithmName="SHA-512" hashValue="I7tSTjGxOqpcA2HAcuNftkaeakR0HvHd/W349j+GrM+BVfa+YESaPMnHiQe9TG1YvlSARxaqW4G1oO9oUi55Kg==" saltValue="pi2a+6hVE6v1fQRqzt9urA==" spinCount="100000" sheet="1" objects="1" scenarios="1"/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F4BF0-ED1E-43AF-8FB9-EEF2D446CF36}">
  <dimension ref="A1:P119"/>
  <sheetViews>
    <sheetView topLeftCell="F16" zoomScaleNormal="100" workbookViewId="0">
      <selection activeCell="L39" sqref="L39"/>
    </sheetView>
  </sheetViews>
  <sheetFormatPr defaultRowHeight="17.649999999999999"/>
  <cols>
    <col min="2" max="2" width="10.3125" customWidth="1"/>
    <col min="10" max="10" width="13.1875" customWidth="1"/>
  </cols>
  <sheetData>
    <row r="1" spans="1:16">
      <c r="A1" t="s">
        <v>0</v>
      </c>
    </row>
    <row r="2" spans="1:16">
      <c r="B2" t="s">
        <v>1</v>
      </c>
      <c r="C2" t="s">
        <v>2</v>
      </c>
      <c r="D2" t="s">
        <v>3</v>
      </c>
      <c r="E2" t="s">
        <v>4</v>
      </c>
      <c r="F2" t="s">
        <v>5</v>
      </c>
      <c r="H2" t="s">
        <v>17</v>
      </c>
      <c r="J2" t="s">
        <v>7</v>
      </c>
      <c r="N2" s="1" t="s">
        <v>8</v>
      </c>
      <c r="O2" t="s">
        <v>9</v>
      </c>
    </row>
    <row r="3" spans="1:16">
      <c r="B3">
        <v>0</v>
      </c>
      <c r="C3">
        <v>0</v>
      </c>
      <c r="D3" s="2">
        <f>$B$3+C3/12</f>
        <v>0</v>
      </c>
      <c r="E3">
        <f>(-1/(PI())*ATAN($N$3*(D3-$I$8))+1/2)</f>
        <v>0.94781613530232989</v>
      </c>
      <c r="F3" s="3">
        <f>$O$3*E3*(D3-$I$8)+$I$8</f>
        <v>0</v>
      </c>
      <c r="I3" t="s">
        <v>10</v>
      </c>
      <c r="J3" t="s">
        <v>11</v>
      </c>
      <c r="M3" s="4"/>
      <c r="N3" s="5">
        <v>0.335835057378779</v>
      </c>
      <c r="O3">
        <f>(0.5+(1/(PI())*ATAN($I$8*N3)))^-1</f>
        <v>1.0550569490790793</v>
      </c>
    </row>
    <row r="4" spans="1:16">
      <c r="B4">
        <f>IF(C4=0,B3+1,B3)</f>
        <v>0</v>
      </c>
      <c r="C4">
        <v>1</v>
      </c>
      <c r="D4" s="2">
        <f t="shared" ref="D4:D14" si="0">$B$3+C4/12</f>
        <v>8.3333333333333329E-2</v>
      </c>
      <c r="E4">
        <f t="shared" ref="E4:E67" si="1">(-1/(PI())*ATAN($N$3*(D4-$I$8))+1/2)</f>
        <v>0.94757777480422734</v>
      </c>
      <c r="F4" s="3">
        <f t="shared" ref="F4:F67" si="2">$O$3*E4*(D4-$I$8)+$I$8</f>
        <v>8.7839086540036249E-2</v>
      </c>
      <c r="J4" t="s">
        <v>12</v>
      </c>
      <c r="N4" t="s">
        <v>16</v>
      </c>
    </row>
    <row r="5" spans="1:16">
      <c r="B5">
        <f t="shared" ref="B5:B68" si="3">IF(C5=0,B4+1,B4)</f>
        <v>0</v>
      </c>
      <c r="C5">
        <v>2</v>
      </c>
      <c r="D5" s="2">
        <f t="shared" si="0"/>
        <v>0.16666666666666666</v>
      </c>
      <c r="E5">
        <f t="shared" si="1"/>
        <v>0.94733724678676179</v>
      </c>
      <c r="F5" s="3">
        <f t="shared" si="2"/>
        <v>0.17567704136861906</v>
      </c>
      <c r="J5" t="s">
        <v>14</v>
      </c>
    </row>
    <row r="6" spans="1:16">
      <c r="B6">
        <f t="shared" si="3"/>
        <v>0</v>
      </c>
      <c r="C6">
        <v>3</v>
      </c>
      <c r="D6" s="2">
        <f t="shared" si="0"/>
        <v>0.25</v>
      </c>
      <c r="E6">
        <f t="shared" si="1"/>
        <v>0.94709452182801512</v>
      </c>
      <c r="F6" s="3">
        <f t="shared" si="2"/>
        <v>0.26351384376359022</v>
      </c>
    </row>
    <row r="7" spans="1:16">
      <c r="B7">
        <f t="shared" si="3"/>
        <v>0</v>
      </c>
      <c r="C7">
        <v>4</v>
      </c>
      <c r="D7" s="2">
        <f t="shared" si="0"/>
        <v>0.33333333333333331</v>
      </c>
      <c r="E7">
        <f t="shared" si="1"/>
        <v>0.9468495699763555</v>
      </c>
      <c r="F7" s="3">
        <f t="shared" si="2"/>
        <v>0.35134947252904425</v>
      </c>
      <c r="I7" t="s">
        <v>15</v>
      </c>
      <c r="J7" t="s">
        <v>8</v>
      </c>
      <c r="K7" t="s">
        <v>9</v>
      </c>
    </row>
    <row r="8" spans="1:16">
      <c r="B8">
        <f t="shared" si="3"/>
        <v>0</v>
      </c>
      <c r="C8">
        <v>5</v>
      </c>
      <c r="D8" s="2">
        <f t="shared" si="0"/>
        <v>0.41666666666666669</v>
      </c>
      <c r="E8">
        <f t="shared" si="1"/>
        <v>0.94660236073858517</v>
      </c>
      <c r="F8" s="3">
        <f t="shared" si="2"/>
        <v>0.43918390598232548</v>
      </c>
      <c r="I8">
        <v>18</v>
      </c>
      <c r="J8">
        <v>0</v>
      </c>
      <c r="K8" s="6">
        <f>(0.5+(1/(PI())*ATAN($I$8*J8)))^-1</f>
        <v>2</v>
      </c>
      <c r="P8" s="7"/>
    </row>
    <row r="9" spans="1:16">
      <c r="B9">
        <f t="shared" si="3"/>
        <v>0</v>
      </c>
      <c r="C9">
        <v>6</v>
      </c>
      <c r="D9" s="2">
        <f t="shared" si="0"/>
        <v>0.5</v>
      </c>
      <c r="E9">
        <f t="shared" si="1"/>
        <v>0.94635286306777044</v>
      </c>
      <c r="F9" s="3">
        <f t="shared" si="2"/>
        <v>0.52701712194066275</v>
      </c>
      <c r="J9" s="6">
        <v>0.1</v>
      </c>
      <c r="K9" s="6">
        <f>(0.5+(1/(PI())*ATAN(3*J9)))^-1</f>
        <v>1.6869847700631908</v>
      </c>
      <c r="P9" s="7"/>
    </row>
    <row r="10" spans="1:16">
      <c r="B10">
        <f t="shared" si="3"/>
        <v>0</v>
      </c>
      <c r="C10">
        <v>7</v>
      </c>
      <c r="D10" s="2">
        <f t="shared" si="0"/>
        <v>0.58333333333333337</v>
      </c>
      <c r="E10">
        <f t="shared" si="1"/>
        <v>0.94610104535074746</v>
      </c>
      <c r="F10" s="3">
        <f t="shared" si="2"/>
        <v>0.61484909770732799</v>
      </c>
      <c r="J10">
        <v>0.2</v>
      </c>
      <c r="K10">
        <f t="shared" ref="K10:K45" si="4">(0.5+(1/(PI())*ATAN(3*J10)))^-1</f>
        <v>1.4880490252654563</v>
      </c>
    </row>
    <row r="11" spans="1:16">
      <c r="B11">
        <f t="shared" si="3"/>
        <v>0</v>
      </c>
      <c r="C11">
        <v>8</v>
      </c>
      <c r="D11" s="2">
        <f t="shared" si="0"/>
        <v>0.66666666666666663</v>
      </c>
      <c r="E11">
        <f t="shared" si="1"/>
        <v>0.94584687539529089</v>
      </c>
      <c r="F11" s="3">
        <f t="shared" si="2"/>
        <v>0.70267981005738278</v>
      </c>
      <c r="J11">
        <v>0.3</v>
      </c>
      <c r="K11">
        <f t="shared" si="4"/>
        <v>1.363768478750963</v>
      </c>
    </row>
    <row r="12" spans="1:16">
      <c r="B12">
        <f t="shared" si="3"/>
        <v>0</v>
      </c>
      <c r="C12">
        <v>9</v>
      </c>
      <c r="D12" s="2">
        <f t="shared" si="0"/>
        <v>0.75</v>
      </c>
      <c r="E12">
        <f t="shared" si="1"/>
        <v>0.94559032041693647</v>
      </c>
      <c r="F12" s="3">
        <f t="shared" si="2"/>
        <v>0.79050923522291328</v>
      </c>
      <c r="J12">
        <v>0.4</v>
      </c>
      <c r="K12">
        <f t="shared" si="4"/>
        <v>1.2839311904359776</v>
      </c>
    </row>
    <row r="13" spans="1:16">
      <c r="B13">
        <f t="shared" si="3"/>
        <v>0</v>
      </c>
      <c r="C13">
        <v>10</v>
      </c>
      <c r="D13" s="2">
        <f t="shared" si="0"/>
        <v>0.83333333333333337</v>
      </c>
      <c r="E13">
        <f t="shared" si="1"/>
        <v>0.94533134702544608</v>
      </c>
      <c r="F13" s="3">
        <f t="shared" si="2"/>
        <v>0.87833734887786719</v>
      </c>
      <c r="J13">
        <v>0.5</v>
      </c>
      <c r="K13">
        <f t="shared" si="4"/>
        <v>1.2302650746692267</v>
      </c>
    </row>
    <row r="14" spans="1:16">
      <c r="B14">
        <f t="shared" si="3"/>
        <v>0</v>
      </c>
      <c r="C14">
        <v>11</v>
      </c>
      <c r="D14" s="2">
        <f t="shared" si="0"/>
        <v>0.91666666666666663</v>
      </c>
      <c r="E14">
        <f t="shared" si="1"/>
        <v>0.94506992121090361</v>
      </c>
      <c r="F14" s="3">
        <f t="shared" si="2"/>
        <v>0.96616412612231173</v>
      </c>
      <c r="J14">
        <v>0.6</v>
      </c>
      <c r="K14">
        <f t="shared" si="4"/>
        <v>1.1924842021557778</v>
      </c>
    </row>
    <row r="15" spans="1:16">
      <c r="B15">
        <f t="shared" si="3"/>
        <v>1</v>
      </c>
      <c r="C15">
        <v>0</v>
      </c>
      <c r="D15" s="2">
        <f>$B$15+C15/12</f>
        <v>1</v>
      </c>
      <c r="E15">
        <f t="shared" si="1"/>
        <v>0.94480600832943185</v>
      </c>
      <c r="F15" s="3">
        <f t="shared" si="2"/>
        <v>1.0539895414662297</v>
      </c>
      <c r="G15" s="3">
        <f>F15-B15</f>
        <v>5.3989541466229696E-2</v>
      </c>
      <c r="J15">
        <v>0.7</v>
      </c>
      <c r="K15">
        <f t="shared" si="4"/>
        <v>1.1647722028930052</v>
      </c>
    </row>
    <row r="16" spans="1:16">
      <c r="B16">
        <f t="shared" si="3"/>
        <v>1</v>
      </c>
      <c r="C16">
        <v>1</v>
      </c>
      <c r="D16" s="2">
        <f t="shared" ref="D16:D26" si="5">$B$15+C16/12</f>
        <v>1.0833333333333333</v>
      </c>
      <c r="E16">
        <f t="shared" si="1"/>
        <v>0.94453957308851588</v>
      </c>
      <c r="F16" s="3">
        <f t="shared" si="2"/>
        <v>1.1418135688127649</v>
      </c>
      <c r="J16">
        <v>0.8</v>
      </c>
      <c r="K16">
        <f t="shared" si="4"/>
        <v>1.1437275736265722</v>
      </c>
    </row>
    <row r="17" spans="2:11">
      <c r="B17">
        <f t="shared" si="3"/>
        <v>1</v>
      </c>
      <c r="C17">
        <v>2</v>
      </c>
      <c r="D17" s="2">
        <f t="shared" si="5"/>
        <v>1.1666666666666667</v>
      </c>
      <c r="E17">
        <f t="shared" si="1"/>
        <v>0.94427057953192239</v>
      </c>
      <c r="F17" s="3">
        <f t="shared" si="2"/>
        <v>1.2296361814409167</v>
      </c>
      <c r="J17">
        <v>0.9</v>
      </c>
      <c r="K17">
        <f t="shared" si="4"/>
        <v>1.1272766537753374</v>
      </c>
    </row>
    <row r="18" spans="2:11">
      <c r="B18">
        <f t="shared" si="3"/>
        <v>1</v>
      </c>
      <c r="C18">
        <v>3</v>
      </c>
      <c r="D18" s="2">
        <f t="shared" si="5"/>
        <v>1.25</v>
      </c>
      <c r="E18">
        <f t="shared" si="1"/>
        <v>0.94399899102420126</v>
      </c>
      <c r="F18" s="3">
        <f t="shared" si="2"/>
        <v>1.3174573519876382</v>
      </c>
      <c r="J18">
        <v>1</v>
      </c>
      <c r="K18">
        <f t="shared" si="4"/>
        <v>1.114102330229308</v>
      </c>
    </row>
    <row r="19" spans="2:11">
      <c r="B19">
        <f t="shared" si="3"/>
        <v>1</v>
      </c>
      <c r="C19">
        <v>4</v>
      </c>
      <c r="D19" s="2">
        <f t="shared" si="5"/>
        <v>1.3333333333333333</v>
      </c>
      <c r="E19">
        <f t="shared" si="1"/>
        <v>0.94372477023475576</v>
      </c>
      <c r="F19" s="3">
        <f t="shared" si="2"/>
        <v>1.4052770524293905</v>
      </c>
      <c r="J19">
        <v>1.1000000000000001</v>
      </c>
      <c r="K19">
        <f t="shared" si="4"/>
        <v>1.1033359893515897</v>
      </c>
    </row>
    <row r="20" spans="2:11">
      <c r="B20">
        <f t="shared" si="3"/>
        <v>1</v>
      </c>
      <c r="C20">
        <v>5</v>
      </c>
      <c r="D20" s="2">
        <f t="shared" si="5"/>
        <v>1.4166666666666667</v>
      </c>
      <c r="E20">
        <f t="shared" si="1"/>
        <v>0.94344787912146866</v>
      </c>
      <c r="F20" s="3">
        <f t="shared" si="2"/>
        <v>1.4930952540630074</v>
      </c>
      <c r="J20">
        <v>1.2</v>
      </c>
      <c r="K20">
        <f t="shared" si="4"/>
        <v>1.0943853296117336</v>
      </c>
    </row>
    <row r="21" spans="2:11">
      <c r="B21">
        <f t="shared" si="3"/>
        <v>1</v>
      </c>
      <c r="C21">
        <v>6</v>
      </c>
      <c r="D21" s="2">
        <f t="shared" si="5"/>
        <v>1.5</v>
      </c>
      <c r="E21">
        <f t="shared" si="1"/>
        <v>0.94316827891386801</v>
      </c>
      <c r="F21" s="3">
        <f t="shared" si="2"/>
        <v>1.5809119274859746</v>
      </c>
      <c r="J21">
        <v>1.3</v>
      </c>
      <c r="K21">
        <f t="shared" si="4"/>
        <v>1.0868344142590938</v>
      </c>
    </row>
    <row r="22" spans="2:11">
      <c r="B22">
        <f t="shared" si="3"/>
        <v>1</v>
      </c>
      <c r="C22">
        <v>7</v>
      </c>
      <c r="D22" s="2">
        <f t="shared" si="5"/>
        <v>1.5833333333333335</v>
      </c>
      <c r="E22">
        <f t="shared" si="1"/>
        <v>0.94288593009581945</v>
      </c>
      <c r="F22" s="3">
        <f t="shared" si="2"/>
        <v>1.6687270425760303</v>
      </c>
      <c r="J22">
        <v>1.4</v>
      </c>
      <c r="K22">
        <f t="shared" si="4"/>
        <v>1.0803835215893025</v>
      </c>
    </row>
    <row r="23" spans="2:11">
      <c r="B23">
        <f t="shared" si="3"/>
        <v>1</v>
      </c>
      <c r="C23">
        <v>8</v>
      </c>
      <c r="D23" s="2">
        <f t="shared" si="5"/>
        <v>1.6666666666666665</v>
      </c>
      <c r="E23">
        <f t="shared" si="1"/>
        <v>0.94260079238772931</v>
      </c>
      <c r="F23" s="3">
        <f t="shared" si="2"/>
        <v>1.7565405684700366</v>
      </c>
      <c r="J23">
        <v>1.5</v>
      </c>
      <c r="K23">
        <f t="shared" si="4"/>
        <v>1.0748117185873534</v>
      </c>
    </row>
    <row r="24" spans="2:11">
      <c r="B24">
        <f t="shared" si="3"/>
        <v>1</v>
      </c>
      <c r="C24">
        <v>9</v>
      </c>
      <c r="D24" s="2">
        <f t="shared" si="5"/>
        <v>1.75</v>
      </c>
      <c r="E24">
        <f t="shared" si="1"/>
        <v>0.94231282472824074</v>
      </c>
      <c r="F24" s="3">
        <f t="shared" si="2"/>
        <v>1.8443524735421626</v>
      </c>
      <c r="J24">
        <v>1.6</v>
      </c>
      <c r="K24">
        <f t="shared" si="4"/>
        <v>1.069952857623051</v>
      </c>
    </row>
    <row r="25" spans="2:11">
      <c r="B25">
        <f t="shared" si="3"/>
        <v>1</v>
      </c>
      <c r="C25">
        <v>10</v>
      </c>
      <c r="D25" s="2">
        <f t="shared" si="5"/>
        <v>1.8333333333333335</v>
      </c>
      <c r="E25">
        <f t="shared" si="1"/>
        <v>0.94202198525540926</v>
      </c>
      <c r="F25" s="3">
        <f t="shared" si="2"/>
        <v>1.9321627253813354</v>
      </c>
      <c r="J25">
        <v>1.7</v>
      </c>
      <c r="K25">
        <f t="shared" si="4"/>
        <v>1.0656797557163429</v>
      </c>
    </row>
    <row r="26" spans="2:11">
      <c r="B26">
        <f t="shared" si="3"/>
        <v>1</v>
      </c>
      <c r="C26">
        <v>11</v>
      </c>
      <c r="D26" s="2">
        <f t="shared" si="5"/>
        <v>1.9166666666666665</v>
      </c>
      <c r="E26">
        <f t="shared" si="1"/>
        <v>0.9417282312873374</v>
      </c>
      <c r="F26" s="3">
        <f t="shared" si="2"/>
        <v>2.0199712907678702</v>
      </c>
      <c r="J26">
        <v>1.8</v>
      </c>
      <c r="K26">
        <f t="shared" si="4"/>
        <v>1.06189350734355</v>
      </c>
    </row>
    <row r="27" spans="2:11">
      <c r="B27">
        <f t="shared" si="3"/>
        <v>2</v>
      </c>
      <c r="C27">
        <v>0</v>
      </c>
      <c r="D27" s="2">
        <f>$B$27+C27/12</f>
        <v>2</v>
      </c>
      <c r="E27">
        <f t="shared" si="1"/>
        <v>0.94143151930225377</v>
      </c>
      <c r="F27" s="3">
        <f t="shared" si="2"/>
        <v>2.1077781356493084</v>
      </c>
      <c r="G27" s="3">
        <f>F27-B27</f>
        <v>0.10777813564930838</v>
      </c>
      <c r="J27">
        <v>1.9</v>
      </c>
      <c r="K27">
        <f t="shared" si="4"/>
        <v>1.0585161032595618</v>
      </c>
    </row>
    <row r="28" spans="2:11">
      <c r="B28">
        <f t="shared" si="3"/>
        <v>2</v>
      </c>
      <c r="C28">
        <v>1</v>
      </c>
      <c r="D28" s="2">
        <f t="shared" ref="D28:D38" si="6">$B$27+C28/12</f>
        <v>2.0833333333333335</v>
      </c>
      <c r="E28">
        <f t="shared" si="1"/>
        <v>0.94113180491801463</v>
      </c>
      <c r="F28" s="3">
        <f t="shared" si="2"/>
        <v>2.1955832251154366</v>
      </c>
      <c r="J28">
        <v>2</v>
      </c>
      <c r="K28">
        <f t="shared" si="4"/>
        <v>1.0554852296016835</v>
      </c>
    </row>
    <row r="29" spans="2:11">
      <c r="B29">
        <f t="shared" si="3"/>
        <v>2</v>
      </c>
      <c r="C29">
        <v>2</v>
      </c>
      <c r="D29" s="2">
        <f t="shared" si="6"/>
        <v>2.1666666666666665</v>
      </c>
      <c r="E29">
        <f t="shared" si="1"/>
        <v>0.94082904287101066</v>
      </c>
      <c r="F29" s="3">
        <f t="shared" si="2"/>
        <v>2.2833865233724175</v>
      </c>
      <c r="J29">
        <v>2.1</v>
      </c>
      <c r="K29">
        <f t="shared" si="4"/>
        <v>1.0527505362573033</v>
      </c>
    </row>
    <row r="30" spans="2:11">
      <c r="B30">
        <f t="shared" si="3"/>
        <v>2</v>
      </c>
      <c r="C30">
        <v>3</v>
      </c>
      <c r="D30" s="2">
        <f t="shared" si="6"/>
        <v>2.25</v>
      </c>
      <c r="E30">
        <f t="shared" si="1"/>
        <v>0.9405231869944608</v>
      </c>
      <c r="F30" s="3">
        <f t="shared" si="2"/>
        <v>2.3711879937159956</v>
      </c>
      <c r="J30">
        <v>2.2000000000000002</v>
      </c>
      <c r="K30">
        <f t="shared" si="4"/>
        <v>1.0502709150099199</v>
      </c>
    </row>
    <row r="31" spans="2:11">
      <c r="B31">
        <f t="shared" si="3"/>
        <v>2</v>
      </c>
      <c r="C31">
        <v>4</v>
      </c>
      <c r="D31" s="2">
        <f t="shared" si="6"/>
        <v>2.3333333333333335</v>
      </c>
      <c r="E31">
        <f t="shared" si="1"/>
        <v>0.94021419019606722</v>
      </c>
      <c r="F31" s="3">
        <f t="shared" si="2"/>
        <v>2.4589875985037892</v>
      </c>
      <c r="J31">
        <v>2.2999999999999998</v>
      </c>
      <c r="K31">
        <f t="shared" si="4"/>
        <v>1.0480124842365717</v>
      </c>
    </row>
    <row r="32" spans="2:11">
      <c r="B32">
        <f t="shared" si="3"/>
        <v>2</v>
      </c>
      <c r="C32">
        <v>5</v>
      </c>
      <c r="D32" s="2">
        <f t="shared" si="6"/>
        <v>2.4166666666666665</v>
      </c>
      <c r="E32">
        <f t="shared" si="1"/>
        <v>0.93990200443501615</v>
      </c>
      <c r="F32" s="3">
        <f t="shared" si="2"/>
        <v>2.5467852991265723</v>
      </c>
      <c r="J32">
        <v>2.4</v>
      </c>
      <c r="K32">
        <f t="shared" si="4"/>
        <v>1.0459470761662804</v>
      </c>
    </row>
    <row r="33" spans="2:11">
      <c r="B33">
        <f t="shared" si="3"/>
        <v>2</v>
      </c>
      <c r="C33">
        <v>6</v>
      </c>
      <c r="D33" s="2">
        <f t="shared" si="6"/>
        <v>2.5</v>
      </c>
      <c r="E33">
        <f t="shared" si="1"/>
        <v>0.93958658069829692</v>
      </c>
      <c r="F33" s="3">
        <f t="shared" si="2"/>
        <v>2.6345810559785647</v>
      </c>
      <c r="J33">
        <v>2.5</v>
      </c>
      <c r="K33">
        <f t="shared" si="4"/>
        <v>1.0440510870252615</v>
      </c>
    </row>
    <row r="34" spans="2:11">
      <c r="B34">
        <f t="shared" si="3"/>
        <v>2</v>
      </c>
      <c r="C34">
        <v>7</v>
      </c>
      <c r="D34" s="2">
        <f t="shared" si="6"/>
        <v>2.5833333333333335</v>
      </c>
      <c r="E34">
        <f t="shared" si="1"/>
        <v>0.93926786897631986</v>
      </c>
      <c r="F34" s="3">
        <f t="shared" si="2"/>
        <v>2.7223748284266307</v>
      </c>
      <c r="J34">
        <v>2.6</v>
      </c>
      <c r="K34">
        <f t="shared" si="4"/>
        <v>1.042304592866373</v>
      </c>
    </row>
    <row r="35" spans="2:11">
      <c r="B35">
        <f t="shared" si="3"/>
        <v>2</v>
      </c>
      <c r="C35">
        <v>8</v>
      </c>
      <c r="D35" s="2">
        <f t="shared" si="6"/>
        <v>2.6666666666666665</v>
      </c>
      <c r="E35">
        <f t="shared" si="1"/>
        <v>0.93894581823780665</v>
      </c>
      <c r="F35" s="3">
        <f t="shared" si="2"/>
        <v>2.8101665747783855</v>
      </c>
      <c r="J35">
        <v>2.7</v>
      </c>
      <c r="K35">
        <f t="shared" si="4"/>
        <v>1.0406906624160186</v>
      </c>
    </row>
    <row r="36" spans="2:11">
      <c r="B36">
        <f t="shared" si="3"/>
        <v>2</v>
      </c>
      <c r="C36">
        <v>9</v>
      </c>
      <c r="D36" s="2">
        <f t="shared" si="6"/>
        <v>2.75</v>
      </c>
      <c r="E36">
        <f t="shared" si="1"/>
        <v>0.93862037640392981</v>
      </c>
      <c r="F36" s="3">
        <f t="shared" si="2"/>
        <v>2.8979562522491431</v>
      </c>
      <c r="J36">
        <v>2.8</v>
      </c>
      <c r="K36">
        <f t="shared" si="4"/>
        <v>1.0391948177534251</v>
      </c>
    </row>
    <row r="37" spans="2:11">
      <c r="B37">
        <f t="shared" si="3"/>
        <v>2</v>
      </c>
      <c r="C37">
        <v>10</v>
      </c>
      <c r="D37" s="2">
        <f t="shared" si="6"/>
        <v>2.8333333333333335</v>
      </c>
      <c r="E37">
        <f t="shared" si="1"/>
        <v>0.93829149032167392</v>
      </c>
      <c r="F37" s="3">
        <f t="shared" si="2"/>
        <v>2.9857438169276769</v>
      </c>
      <c r="J37">
        <v>2.9</v>
      </c>
      <c r="K37">
        <f t="shared" si="4"/>
        <v>1.0378046071363358</v>
      </c>
    </row>
    <row r="38" spans="2:11">
      <c r="B38">
        <f t="shared" si="3"/>
        <v>2</v>
      </c>
      <c r="C38">
        <v>11</v>
      </c>
      <c r="D38" s="2">
        <f t="shared" si="6"/>
        <v>2.9166666666666665</v>
      </c>
      <c r="E38">
        <f t="shared" si="1"/>
        <v>0.9379591057363923</v>
      </c>
      <c r="F38" s="3">
        <f t="shared" si="2"/>
        <v>3.0735292237407066</v>
      </c>
      <c r="J38">
        <v>3</v>
      </c>
      <c r="K38">
        <f t="shared" si="4"/>
        <v>1.0365092637706548</v>
      </c>
    </row>
    <row r="39" spans="2:11">
      <c r="B39">
        <f t="shared" si="3"/>
        <v>3</v>
      </c>
      <c r="C39">
        <v>0</v>
      </c>
      <c r="D39" s="2">
        <f>$B$39+C39/12</f>
        <v>3</v>
      </c>
      <c r="E39">
        <f t="shared" si="1"/>
        <v>0.93762316726353157</v>
      </c>
      <c r="F39" s="3">
        <f t="shared" si="2"/>
        <v>3.1613124264161279</v>
      </c>
      <c r="G39" s="3">
        <f>F39-B39</f>
        <v>0.16131242641612786</v>
      </c>
      <c r="J39">
        <v>4</v>
      </c>
      <c r="K39">
        <f t="shared" si="4"/>
        <v>1.0271840943094632</v>
      </c>
    </row>
    <row r="40" spans="2:11">
      <c r="B40">
        <f t="shared" si="3"/>
        <v>3</v>
      </c>
      <c r="C40">
        <v>1</v>
      </c>
      <c r="D40" s="2">
        <f t="shared" ref="D40:D50" si="7">$B$39+C40/12</f>
        <v>3.0833333333333335</v>
      </c>
      <c r="E40">
        <f t="shared" si="1"/>
        <v>0.9372836183594947</v>
      </c>
      <c r="F40" s="3">
        <f t="shared" si="2"/>
        <v>3.2490933774448187</v>
      </c>
      <c r="J40">
        <v>5</v>
      </c>
      <c r="K40">
        <f t="shared" si="4"/>
        <v>1.0216480109333539</v>
      </c>
    </row>
    <row r="41" spans="2:11">
      <c r="B41">
        <f t="shared" si="3"/>
        <v>3</v>
      </c>
      <c r="C41">
        <v>2</v>
      </c>
      <c r="D41" s="2">
        <f t="shared" si="7"/>
        <v>3.1666666666666665</v>
      </c>
      <c r="E41">
        <f t="shared" si="1"/>
        <v>0.93694040129161071</v>
      </c>
      <c r="F41" s="3">
        <f t="shared" si="2"/>
        <v>3.3368720280411157</v>
      </c>
      <c r="J41">
        <v>6</v>
      </c>
      <c r="K41">
        <f t="shared" si="4"/>
        <v>1.0179834128765954</v>
      </c>
    </row>
    <row r="42" spans="2:11">
      <c r="B42">
        <f t="shared" si="3"/>
        <v>3</v>
      </c>
      <c r="C42">
        <v>3</v>
      </c>
      <c r="D42" s="2">
        <f t="shared" si="7"/>
        <v>3.25</v>
      </c>
      <c r="E42">
        <f t="shared" si="1"/>
        <v>0.93659345710718267</v>
      </c>
      <c r="F42" s="3">
        <f t="shared" si="2"/>
        <v>3.4246483281017568</v>
      </c>
      <c r="J42">
        <v>7</v>
      </c>
      <c r="K42">
        <f t="shared" si="4"/>
        <v>1.0153791067878806</v>
      </c>
    </row>
    <row r="43" spans="2:11">
      <c r="B43">
        <f t="shared" si="3"/>
        <v>3</v>
      </c>
      <c r="C43">
        <v>4</v>
      </c>
      <c r="D43" s="2">
        <f t="shared" si="7"/>
        <v>3.3333333333333335</v>
      </c>
      <c r="E43">
        <f t="shared" si="1"/>
        <v>0.93624272560157906</v>
      </c>
      <c r="F43" s="3">
        <f t="shared" si="2"/>
        <v>3.5124222261633076</v>
      </c>
      <c r="J43">
        <v>8</v>
      </c>
      <c r="K43">
        <f t="shared" si="4"/>
        <v>1.0134333063752401</v>
      </c>
    </row>
    <row r="44" spans="2:11">
      <c r="B44">
        <f t="shared" si="3"/>
        <v>3</v>
      </c>
      <c r="C44">
        <v>5</v>
      </c>
      <c r="D44" s="2">
        <f t="shared" si="7"/>
        <v>3.4166666666666665</v>
      </c>
      <c r="E44">
        <f t="shared" si="1"/>
        <v>0.93588814528533448</v>
      </c>
      <c r="F44" s="3">
        <f t="shared" si="2"/>
        <v>3.6001936693579957</v>
      </c>
      <c r="J44">
        <v>9</v>
      </c>
      <c r="K44">
        <f t="shared" si="4"/>
        <v>1.0119243842507113</v>
      </c>
    </row>
    <row r="45" spans="2:11">
      <c r="B45">
        <f t="shared" si="3"/>
        <v>3</v>
      </c>
      <c r="C45">
        <v>6</v>
      </c>
      <c r="D45" s="2">
        <f t="shared" si="7"/>
        <v>3.5</v>
      </c>
      <c r="E45">
        <f t="shared" si="1"/>
        <v>0.93552965335022553</v>
      </c>
      <c r="F45" s="3">
        <f t="shared" si="2"/>
        <v>3.6879626033678843</v>
      </c>
      <c r="J45" s="6">
        <v>10</v>
      </c>
      <c r="K45" s="6">
        <f t="shared" si="4"/>
        <v>1.0107201041439151</v>
      </c>
    </row>
    <row r="46" spans="2:11">
      <c r="B46">
        <f t="shared" si="3"/>
        <v>3</v>
      </c>
      <c r="C46">
        <v>7</v>
      </c>
      <c r="D46" s="2">
        <f t="shared" si="7"/>
        <v>3.5833333333333335</v>
      </c>
      <c r="E46">
        <f t="shared" si="1"/>
        <v>0.93516718563428425</v>
      </c>
      <c r="F46" s="3">
        <f t="shared" si="2"/>
        <v>3.7757289723772836</v>
      </c>
    </row>
    <row r="47" spans="2:11">
      <c r="B47">
        <f t="shared" si="3"/>
        <v>3</v>
      </c>
      <c r="C47">
        <v>8</v>
      </c>
      <c r="D47" s="2">
        <f t="shared" si="7"/>
        <v>3.6666666666666665</v>
      </c>
      <c r="E47">
        <f t="shared" si="1"/>
        <v>0.93480067658571131</v>
      </c>
      <c r="F47" s="3">
        <f t="shared" si="2"/>
        <v>3.8634927190233572</v>
      </c>
    </row>
    <row r="48" spans="2:11">
      <c r="B48">
        <f t="shared" si="3"/>
        <v>3</v>
      </c>
      <c r="C48">
        <v>9</v>
      </c>
      <c r="D48" s="2">
        <f t="shared" si="7"/>
        <v>3.75</v>
      </c>
      <c r="E48">
        <f t="shared" si="1"/>
        <v>0.93443005922564837</v>
      </c>
      <c r="F48" s="3">
        <f t="shared" si="2"/>
        <v>3.9512537843448587</v>
      </c>
    </row>
    <row r="49" spans="2:7">
      <c r="B49">
        <f t="shared" si="3"/>
        <v>3</v>
      </c>
      <c r="C49">
        <v>10</v>
      </c>
      <c r="D49" s="2">
        <f t="shared" si="7"/>
        <v>3.8333333333333335</v>
      </c>
      <c r="E49">
        <f t="shared" si="1"/>
        <v>0.93405526510976877</v>
      </c>
      <c r="F49" s="3">
        <f t="shared" si="2"/>
        <v>4.0390121077288548</v>
      </c>
    </row>
    <row r="50" spans="2:7">
      <c r="B50">
        <f t="shared" si="3"/>
        <v>3</v>
      </c>
      <c r="C50">
        <v>11</v>
      </c>
      <c r="D50" s="2">
        <f t="shared" si="7"/>
        <v>3.9166666666666665</v>
      </c>
      <c r="E50">
        <f t="shared" si="1"/>
        <v>0.9336762242886445</v>
      </c>
      <c r="F50" s="3">
        <f t="shared" si="2"/>
        <v>4.1267676268554077</v>
      </c>
    </row>
    <row r="51" spans="2:7">
      <c r="B51">
        <f t="shared" si="3"/>
        <v>4</v>
      </c>
      <c r="C51">
        <v>0</v>
      </c>
      <c r="D51" s="2">
        <f>$B$51+C51/12</f>
        <v>4</v>
      </c>
      <c r="E51">
        <f t="shared" si="1"/>
        <v>0.93329286526684174</v>
      </c>
      <c r="F51" s="3">
        <f t="shared" si="2"/>
        <v>4.2145202776401121</v>
      </c>
      <c r="G51" s="3">
        <f>F51-B51</f>
        <v>0.21452027764011206</v>
      </c>
    </row>
    <row r="52" spans="2:7">
      <c r="B52">
        <f t="shared" si="3"/>
        <v>4</v>
      </c>
      <c r="C52">
        <v>1</v>
      </c>
      <c r="D52" s="2">
        <f t="shared" ref="D52:D62" si="8">$B$51+C52/12</f>
        <v>4.083333333333333</v>
      </c>
      <c r="E52">
        <f t="shared" si="1"/>
        <v>0.93290511496070083</v>
      </c>
      <c r="F52" s="3">
        <f t="shared" si="2"/>
        <v>4.3022699941743561</v>
      </c>
    </row>
    <row r="53" spans="2:7">
      <c r="B53">
        <f t="shared" si="3"/>
        <v>4</v>
      </c>
      <c r="C53">
        <v>2</v>
      </c>
      <c r="D53" s="2">
        <f t="shared" si="8"/>
        <v>4.166666666666667</v>
      </c>
      <c r="E53">
        <f t="shared" si="1"/>
        <v>0.93251289865475084</v>
      </c>
      <c r="F53" s="3">
        <f t="shared" si="2"/>
        <v>4.390016708663282</v>
      </c>
    </row>
    <row r="54" spans="2:7">
      <c r="B54">
        <f t="shared" si="3"/>
        <v>4</v>
      </c>
      <c r="C54">
        <v>3</v>
      </c>
      <c r="D54" s="2">
        <f t="shared" si="8"/>
        <v>4.25</v>
      </c>
      <c r="E54">
        <f t="shared" si="1"/>
        <v>0.93211613995670939</v>
      </c>
      <c r="F54" s="3">
        <f t="shared" si="2"/>
        <v>4.4777603513612085</v>
      </c>
    </row>
    <row r="55" spans="2:7">
      <c r="B55">
        <f t="shared" si="3"/>
        <v>4</v>
      </c>
      <c r="C55">
        <v>4</v>
      </c>
      <c r="D55" s="2">
        <f t="shared" si="8"/>
        <v>4.333333333333333</v>
      </c>
      <c r="E55">
        <f t="shared" si="1"/>
        <v>0.93171476075101134</v>
      </c>
      <c r="F55" s="3">
        <f t="shared" si="2"/>
        <v>4.5655008505046126</v>
      </c>
    </row>
    <row r="56" spans="2:7">
      <c r="B56">
        <f t="shared" si="3"/>
        <v>4</v>
      </c>
      <c r="C56">
        <v>5</v>
      </c>
      <c r="D56" s="2">
        <f t="shared" si="8"/>
        <v>4.416666666666667</v>
      </c>
      <c r="E56">
        <f t="shared" si="1"/>
        <v>0.93130868115081689</v>
      </c>
      <c r="F56" s="3">
        <f t="shared" si="2"/>
        <v>4.6532381322423149</v>
      </c>
    </row>
    <row r="57" spans="2:7">
      <c r="B57">
        <f t="shared" si="3"/>
        <v>4</v>
      </c>
      <c r="C57">
        <v>6</v>
      </c>
      <c r="D57" s="2">
        <f t="shared" si="8"/>
        <v>4.5</v>
      </c>
      <c r="E57">
        <f t="shared" si="1"/>
        <v>0.93089781944843641</v>
      </c>
      <c r="F57" s="3">
        <f t="shared" si="2"/>
        <v>4.7409721205629278</v>
      </c>
    </row>
    <row r="58" spans="2:7">
      <c r="B58">
        <f t="shared" si="3"/>
        <v>4</v>
      </c>
      <c r="C58">
        <v>7</v>
      </c>
      <c r="D58" s="2">
        <f t="shared" si="8"/>
        <v>4.583333333333333</v>
      </c>
      <c r="E58">
        <f t="shared" si="1"/>
        <v>0.93048209206411681</v>
      </c>
      <c r="F58" s="3">
        <f t="shared" si="2"/>
        <v>4.8287027372193609</v>
      </c>
    </row>
    <row r="59" spans="2:7">
      <c r="B59">
        <f t="shared" si="3"/>
        <v>4</v>
      </c>
      <c r="C59">
        <v>8</v>
      </c>
      <c r="D59" s="2">
        <f t="shared" si="8"/>
        <v>4.666666666666667</v>
      </c>
      <c r="E59">
        <f t="shared" si="1"/>
        <v>0.93006141349312232</v>
      </c>
      <c r="F59" s="3">
        <f t="shared" si="2"/>
        <v>4.9164299016502717</v>
      </c>
    </row>
    <row r="60" spans="2:7">
      <c r="B60">
        <f t="shared" si="3"/>
        <v>4</v>
      </c>
      <c r="C60">
        <v>9</v>
      </c>
      <c r="D60" s="2">
        <f t="shared" si="8"/>
        <v>4.75</v>
      </c>
      <c r="E60">
        <f t="shared" si="1"/>
        <v>0.9296356962510508</v>
      </c>
      <c r="F60" s="3">
        <f t="shared" si="2"/>
        <v>5.0041535308982787</v>
      </c>
    </row>
    <row r="61" spans="2:7">
      <c r="B61">
        <f t="shared" si="3"/>
        <v>4</v>
      </c>
      <c r="C61">
        <v>10</v>
      </c>
      <c r="D61" s="2">
        <f t="shared" si="8"/>
        <v>4.833333333333333</v>
      </c>
      <c r="E61">
        <f t="shared" si="1"/>
        <v>0.92920485081731219</v>
      </c>
      <c r="F61" s="3">
        <f t="shared" si="2"/>
        <v>5.0918735395248724</v>
      </c>
    </row>
    <row r="62" spans="2:7">
      <c r="B62">
        <f t="shared" si="3"/>
        <v>4</v>
      </c>
      <c r="C62">
        <v>11</v>
      </c>
      <c r="D62" s="2">
        <f t="shared" si="8"/>
        <v>4.916666666666667</v>
      </c>
      <c r="E62">
        <f t="shared" si="1"/>
        <v>0.9287687855767025</v>
      </c>
      <c r="F62" s="3">
        <f t="shared" si="2"/>
        <v>5.1795898395217801</v>
      </c>
    </row>
    <row r="63" spans="2:7">
      <c r="B63">
        <f t="shared" si="3"/>
        <v>5</v>
      </c>
      <c r="C63">
        <v>0</v>
      </c>
      <c r="D63" s="2">
        <f>$B$63+C63/12</f>
        <v>5</v>
      </c>
      <c r="E63">
        <f t="shared" si="1"/>
        <v>0.92832740675899805</v>
      </c>
      <c r="F63" s="3">
        <f t="shared" si="2"/>
        <v>5.2673023402186558</v>
      </c>
      <c r="G63" s="3">
        <f>F63-B63</f>
        <v>0.26730234021865584</v>
      </c>
    </row>
    <row r="64" spans="2:7">
      <c r="B64">
        <f t="shared" si="3"/>
        <v>5</v>
      </c>
      <c r="C64">
        <v>1</v>
      </c>
      <c r="D64" s="2">
        <f t="shared" ref="D64:D74" si="9">$B$63+C64/12</f>
        <v>5.083333333333333</v>
      </c>
      <c r="E64">
        <f t="shared" si="1"/>
        <v>0.92788061837649349</v>
      </c>
      <c r="F64" s="3">
        <f t="shared" si="2"/>
        <v>5.3550109481869601</v>
      </c>
    </row>
    <row r="65" spans="2:7">
      <c r="B65">
        <f t="shared" si="3"/>
        <v>5</v>
      </c>
      <c r="C65">
        <v>2</v>
      </c>
      <c r="D65" s="2">
        <f t="shared" si="9"/>
        <v>5.166666666666667</v>
      </c>
      <c r="E65">
        <f t="shared" si="1"/>
        <v>0.92742832215940429</v>
      </c>
      <c r="F65" s="3">
        <f t="shared" si="2"/>
        <v>5.4427155671397749</v>
      </c>
    </row>
    <row r="66" spans="2:7">
      <c r="B66">
        <f t="shared" si="3"/>
        <v>5</v>
      </c>
      <c r="C66">
        <v>3</v>
      </c>
      <c r="D66" s="2">
        <f t="shared" si="9"/>
        <v>5.25</v>
      </c>
      <c r="E66">
        <f t="shared" si="1"/>
        <v>0.92697041748904918</v>
      </c>
      <c r="F66" s="3">
        <f t="shared" si="2"/>
        <v>5.5304160978274037</v>
      </c>
    </row>
    <row r="67" spans="2:7">
      <c r="B67">
        <f t="shared" si="3"/>
        <v>5</v>
      </c>
      <c r="C67">
        <v>4</v>
      </c>
      <c r="D67" s="2">
        <f t="shared" si="9"/>
        <v>5.333333333333333</v>
      </c>
      <c r="E67">
        <f t="shared" si="1"/>
        <v>0.92650680132872598</v>
      </c>
      <c r="F67" s="3">
        <f t="shared" si="2"/>
        <v>5.6181124379285698</v>
      </c>
    </row>
    <row r="68" spans="2:7">
      <c r="B68">
        <f t="shared" si="3"/>
        <v>5</v>
      </c>
      <c r="C68">
        <v>5</v>
      </c>
      <c r="D68" s="2">
        <f t="shared" si="9"/>
        <v>5.416666666666667</v>
      </c>
      <c r="E68">
        <f t="shared" ref="E68:E117" si="10">(-1/(PI())*ATAN($N$3*(D68-$I$8))+1/2)</f>
        <v>0.92603736815219029</v>
      </c>
      <c r="F68" s="3">
        <f t="shared" ref="F68:F117" si="11">$O$3*E68*(D68-$I$8)+$I$8</f>
        <v>5.7058044819369691</v>
      </c>
    </row>
    <row r="69" spans="2:7">
      <c r="B69">
        <f t="shared" ref="B69:B99" si="12">IF(C69=0,B68+1,B68)</f>
        <v>5</v>
      </c>
      <c r="C69">
        <v>6</v>
      </c>
      <c r="D69" s="2">
        <f t="shared" si="9"/>
        <v>5.5</v>
      </c>
      <c r="E69">
        <f t="shared" si="10"/>
        <v>0.92556200986964132</v>
      </c>
      <c r="F69" s="3">
        <f t="shared" si="11"/>
        <v>5.7934921210429451</v>
      </c>
    </row>
    <row r="70" spans="2:7">
      <c r="B70">
        <f t="shared" si="12"/>
        <v>5</v>
      </c>
      <c r="C70">
        <v>7</v>
      </c>
      <c r="D70" s="2">
        <f t="shared" si="9"/>
        <v>5.583333333333333</v>
      </c>
      <c r="E70">
        <f t="shared" si="10"/>
        <v>0.925080615751116</v>
      </c>
      <c r="F70" s="3">
        <f t="shared" si="11"/>
        <v>5.8811752430101052</v>
      </c>
    </row>
    <row r="71" spans="2:7">
      <c r="B71">
        <f t="shared" si="12"/>
        <v>5</v>
      </c>
      <c r="C71">
        <v>8</v>
      </c>
      <c r="D71" s="2">
        <f t="shared" si="9"/>
        <v>5.666666666666667</v>
      </c>
      <c r="E71">
        <f t="shared" si="10"/>
        <v>0.92459307234718857</v>
      </c>
      <c r="F71" s="3">
        <f t="shared" si="11"/>
        <v>5.9688537320465826</v>
      </c>
    </row>
    <row r="72" spans="2:7">
      <c r="B72">
        <f t="shared" si="12"/>
        <v>5</v>
      </c>
      <c r="C72">
        <v>9</v>
      </c>
      <c r="D72" s="2">
        <f t="shared" si="9"/>
        <v>5.75</v>
      </c>
      <c r="E72">
        <f t="shared" si="10"/>
        <v>0.92409926340686721</v>
      </c>
      <c r="F72" s="3">
        <f t="shared" si="11"/>
        <v>6.0565274686706463</v>
      </c>
    </row>
    <row r="73" spans="2:7">
      <c r="B73">
        <f t="shared" si="12"/>
        <v>5</v>
      </c>
      <c r="C73">
        <v>10</v>
      </c>
      <c r="D73" s="2">
        <f t="shared" si="9"/>
        <v>5.833333333333333</v>
      </c>
      <c r="E73">
        <f t="shared" si="10"/>
        <v>0.92359906979257445</v>
      </c>
      <c r="F73" s="3">
        <f t="shared" si="11"/>
        <v>6.1441963295705104</v>
      </c>
    </row>
    <row r="74" spans="2:7">
      <c r="B74">
        <f t="shared" si="12"/>
        <v>5</v>
      </c>
      <c r="C74">
        <v>11</v>
      </c>
      <c r="D74" s="2">
        <f t="shared" si="9"/>
        <v>5.916666666666667</v>
      </c>
      <c r="E74">
        <f t="shared" si="10"/>
        <v>0.92309236939209316</v>
      </c>
      <c r="F74" s="3">
        <f t="shared" si="11"/>
        <v>6.2318601874579134</v>
      </c>
    </row>
    <row r="75" spans="2:7">
      <c r="B75">
        <f t="shared" si="12"/>
        <v>6</v>
      </c>
      <c r="C75">
        <v>0</v>
      </c>
      <c r="D75" s="2">
        <f>$B75+C75/12</f>
        <v>6</v>
      </c>
      <c r="E75">
        <f t="shared" si="10"/>
        <v>0.922579037027358</v>
      </c>
      <c r="F75" s="3">
        <f t="shared" si="11"/>
        <v>6.3195189109152086</v>
      </c>
      <c r="G75" s="3">
        <f>F75-B75</f>
        <v>0.31951891091520856</v>
      </c>
    </row>
    <row r="76" spans="2:7">
      <c r="B76">
        <f t="shared" si="12"/>
        <v>7</v>
      </c>
      <c r="D76" s="2">
        <f t="shared" ref="D76:D98" si="13">$B76+C76/12</f>
        <v>7</v>
      </c>
      <c r="E76">
        <f t="shared" si="10"/>
        <v>0.91585156390368661</v>
      </c>
      <c r="F76" s="3">
        <f t="shared" si="11"/>
        <v>7.3709688749632036</v>
      </c>
      <c r="G76" s="3">
        <f t="shared" ref="G76:G87" si="14">F76-B76</f>
        <v>0.37096887496320363</v>
      </c>
    </row>
    <row r="77" spans="2:7">
      <c r="B77">
        <f t="shared" si="12"/>
        <v>8</v>
      </c>
      <c r="D77" s="2">
        <f t="shared" si="13"/>
        <v>8</v>
      </c>
      <c r="E77">
        <f t="shared" si="10"/>
        <v>0.9078794384745188</v>
      </c>
      <c r="F77" s="3">
        <f t="shared" si="11"/>
        <v>8.4213548951144652</v>
      </c>
      <c r="G77" s="3">
        <f t="shared" si="14"/>
        <v>0.42135489511446522</v>
      </c>
    </row>
    <row r="78" spans="2:7">
      <c r="B78">
        <f t="shared" si="12"/>
        <v>9</v>
      </c>
      <c r="D78" s="2">
        <f t="shared" si="13"/>
        <v>9</v>
      </c>
      <c r="E78">
        <f t="shared" si="10"/>
        <v>0.89829549908863981</v>
      </c>
      <c r="F78" s="3">
        <f t="shared" si="11"/>
        <v>9.4702238222406372</v>
      </c>
      <c r="G78" s="3">
        <f t="shared" si="14"/>
        <v>0.47022382224063719</v>
      </c>
    </row>
    <row r="79" spans="2:7">
      <c r="B79">
        <f t="shared" si="12"/>
        <v>10</v>
      </c>
      <c r="D79" s="2">
        <f t="shared" si="13"/>
        <v>10</v>
      </c>
      <c r="E79">
        <f t="shared" si="10"/>
        <v>0.88658002802065639</v>
      </c>
      <c r="F79" s="3">
        <f t="shared" si="11"/>
        <v>10.516860644176653</v>
      </c>
      <c r="G79" s="3">
        <f t="shared" si="14"/>
        <v>0.51686064417665278</v>
      </c>
    </row>
    <row r="80" spans="2:7">
      <c r="B80">
        <f t="shared" si="12"/>
        <v>11</v>
      </c>
      <c r="D80" s="2">
        <f t="shared" si="13"/>
        <v>11</v>
      </c>
      <c r="E80">
        <f t="shared" si="10"/>
        <v>0.87197846170894944</v>
      </c>
      <c r="F80" s="3">
        <f t="shared" si="11"/>
        <v>11.560091451686809</v>
      </c>
      <c r="G80" s="3">
        <f t="shared" si="14"/>
        <v>0.56009145168680874</v>
      </c>
    </row>
    <row r="81" spans="2:7">
      <c r="B81">
        <f t="shared" si="12"/>
        <v>12</v>
      </c>
      <c r="D81" s="2">
        <f t="shared" si="13"/>
        <v>12</v>
      </c>
      <c r="E81">
        <f t="shared" si="10"/>
        <v>0.85336626448527908</v>
      </c>
      <c r="F81" s="3">
        <f t="shared" si="11"/>
        <v>12.597899955270904</v>
      </c>
      <c r="G81" s="3">
        <f t="shared" si="14"/>
        <v>0.59789995527090412</v>
      </c>
    </row>
    <row r="82" spans="2:7">
      <c r="B82">
        <f t="shared" si="12"/>
        <v>13</v>
      </c>
      <c r="D82" s="2">
        <f t="shared" si="13"/>
        <v>13</v>
      </c>
      <c r="E82">
        <f t="shared" si="10"/>
        <v>0.82902729980402068</v>
      </c>
      <c r="F82" s="3">
        <f t="shared" si="11"/>
        <v>13.626644931827514</v>
      </c>
      <c r="G82" s="3">
        <f t="shared" si="14"/>
        <v>0.62664493182751357</v>
      </c>
    </row>
    <row r="83" spans="2:7">
      <c r="B83">
        <f t="shared" si="12"/>
        <v>14</v>
      </c>
      <c r="D83" s="2">
        <f t="shared" si="13"/>
        <v>14</v>
      </c>
      <c r="E83">
        <f t="shared" si="10"/>
        <v>0.79630845459187394</v>
      </c>
      <c r="F83" s="3">
        <f t="shared" si="11"/>
        <v>14.639396925489685</v>
      </c>
      <c r="G83" s="3">
        <f t="shared" si="14"/>
        <v>0.63939692548968452</v>
      </c>
    </row>
    <row r="84" spans="2:7">
      <c r="B84">
        <f t="shared" si="12"/>
        <v>15</v>
      </c>
      <c r="D84" s="2">
        <f t="shared" si="13"/>
        <v>15</v>
      </c>
      <c r="E84">
        <f t="shared" si="10"/>
        <v>0.75119001404912866</v>
      </c>
      <c r="F84" s="3">
        <f t="shared" si="11"/>
        <v>15.622355266795967</v>
      </c>
      <c r="G84" s="3">
        <f t="shared" si="14"/>
        <v>0.62235526679596731</v>
      </c>
    </row>
    <row r="85" spans="2:7">
      <c r="B85">
        <f t="shared" si="12"/>
        <v>16</v>
      </c>
      <c r="D85" s="2">
        <f t="shared" si="13"/>
        <v>16</v>
      </c>
      <c r="E85">
        <f t="shared" si="10"/>
        <v>0.68826709884148785</v>
      </c>
      <c r="F85" s="3">
        <f t="shared" si="11"/>
        <v>16.547678029089582</v>
      </c>
      <c r="G85" s="3">
        <f t="shared" si="14"/>
        <v>0.54767802908958174</v>
      </c>
    </row>
    <row r="86" spans="2:7">
      <c r="B86">
        <f t="shared" si="12"/>
        <v>17</v>
      </c>
      <c r="D86" s="2">
        <f t="shared" si="13"/>
        <v>17</v>
      </c>
      <c r="E86">
        <f t="shared" si="10"/>
        <v>0.60313253480211015</v>
      </c>
      <c r="F86" s="3">
        <f t="shared" si="11"/>
        <v>17.363660827941352</v>
      </c>
      <c r="G86" s="3">
        <f t="shared" si="14"/>
        <v>0.36366082794135224</v>
      </c>
    </row>
    <row r="87" spans="2:7">
      <c r="B87">
        <f t="shared" si="12"/>
        <v>18</v>
      </c>
      <c r="D87" s="2">
        <f t="shared" si="13"/>
        <v>18</v>
      </c>
      <c r="E87">
        <f t="shared" si="10"/>
        <v>0.5</v>
      </c>
      <c r="F87" s="3">
        <f t="shared" si="11"/>
        <v>18</v>
      </c>
      <c r="G87" s="3">
        <f t="shared" si="14"/>
        <v>0</v>
      </c>
    </row>
    <row r="88" spans="2:7">
      <c r="B88">
        <f t="shared" si="12"/>
        <v>19</v>
      </c>
      <c r="D88" s="2">
        <f t="shared" si="13"/>
        <v>19</v>
      </c>
      <c r="E88">
        <f t="shared" si="10"/>
        <v>0.39686746519788979</v>
      </c>
      <c r="F88" s="3">
        <f t="shared" si="11"/>
        <v>18.418717777020433</v>
      </c>
    </row>
    <row r="89" spans="2:7">
      <c r="B89">
        <f t="shared" si="12"/>
        <v>20</v>
      </c>
      <c r="D89" s="2">
        <f t="shared" si="13"/>
        <v>20</v>
      </c>
      <c r="E89">
        <f t="shared" si="10"/>
        <v>0.3117329011585121</v>
      </c>
      <c r="F89" s="3">
        <f t="shared" si="11"/>
        <v>18.657791927247739</v>
      </c>
    </row>
    <row r="90" spans="2:7">
      <c r="B90">
        <f t="shared" si="12"/>
        <v>21</v>
      </c>
      <c r="D90" s="2">
        <f t="shared" si="13"/>
        <v>21</v>
      </c>
      <c r="E90">
        <f t="shared" si="10"/>
        <v>0.24880998595087134</v>
      </c>
      <c r="F90" s="3">
        <f t="shared" si="11"/>
        <v>18.787526114033206</v>
      </c>
    </row>
    <row r="91" spans="2:7">
      <c r="B91">
        <f t="shared" si="12"/>
        <v>22</v>
      </c>
      <c r="D91" s="2">
        <f t="shared" si="13"/>
        <v>22</v>
      </c>
      <c r="E91">
        <f t="shared" si="10"/>
        <v>0.20369154540812612</v>
      </c>
      <c r="F91" s="3">
        <f t="shared" si="11"/>
        <v>18.859624721806</v>
      </c>
    </row>
    <row r="92" spans="2:7">
      <c r="B92">
        <f t="shared" si="12"/>
        <v>23</v>
      </c>
      <c r="D92" s="2">
        <f t="shared" si="13"/>
        <v>23</v>
      </c>
      <c r="E92">
        <f t="shared" si="10"/>
        <v>0.17097270019597927</v>
      </c>
      <c r="F92" s="3">
        <f t="shared" si="11"/>
        <v>18.90192967722291</v>
      </c>
    </row>
    <row r="93" spans="2:7">
      <c r="B93">
        <f t="shared" si="12"/>
        <v>24</v>
      </c>
      <c r="D93" s="2">
        <f t="shared" si="13"/>
        <v>24</v>
      </c>
      <c r="E93">
        <f t="shared" si="10"/>
        <v>0.14663373551472086</v>
      </c>
      <c r="F93" s="3">
        <f t="shared" si="11"/>
        <v>18.928241649745381</v>
      </c>
    </row>
    <row r="94" spans="2:7">
      <c r="B94">
        <f t="shared" si="12"/>
        <v>25</v>
      </c>
      <c r="D94" s="2">
        <f t="shared" si="13"/>
        <v>25</v>
      </c>
      <c r="E94">
        <f t="shared" si="10"/>
        <v>0.12802153829105056</v>
      </c>
      <c r="F94" s="3">
        <f t="shared" si="11"/>
        <v>18.945490095240366</v>
      </c>
    </row>
    <row r="95" spans="2:7">
      <c r="B95">
        <f t="shared" si="12"/>
        <v>26</v>
      </c>
      <c r="D95" s="2">
        <f t="shared" si="13"/>
        <v>26</v>
      </c>
      <c r="E95">
        <f t="shared" si="10"/>
        <v>0.11341997197934361</v>
      </c>
      <c r="F95" s="3">
        <f t="shared" si="11"/>
        <v>18.957316236809287</v>
      </c>
    </row>
    <row r="96" spans="2:7">
      <c r="B96">
        <f t="shared" si="12"/>
        <v>27</v>
      </c>
      <c r="D96" s="2">
        <f t="shared" si="13"/>
        <v>27</v>
      </c>
      <c r="E96">
        <f t="shared" si="10"/>
        <v>0.10170450091136024</v>
      </c>
      <c r="F96" s="3">
        <f t="shared" si="11"/>
        <v>18.965736363952352</v>
      </c>
    </row>
    <row r="97" spans="2:6">
      <c r="B97">
        <f t="shared" si="12"/>
        <v>28</v>
      </c>
      <c r="D97" s="2">
        <f t="shared" si="13"/>
        <v>28</v>
      </c>
      <c r="E97">
        <f t="shared" si="10"/>
        <v>9.2120561525481148E-2</v>
      </c>
      <c r="F97" s="3">
        <f t="shared" si="11"/>
        <v>18.971924385905258</v>
      </c>
    </row>
    <row r="98" spans="2:6">
      <c r="B98">
        <f t="shared" si="12"/>
        <v>29</v>
      </c>
      <c r="D98" s="2">
        <f t="shared" si="13"/>
        <v>29</v>
      </c>
      <c r="E98">
        <f t="shared" si="10"/>
        <v>8.414843609631345E-2</v>
      </c>
      <c r="F98" s="3">
        <f t="shared" si="11"/>
        <v>18.976595314833077</v>
      </c>
    </row>
    <row r="99" spans="2:6">
      <c r="B99">
        <f t="shared" si="12"/>
        <v>30</v>
      </c>
      <c r="D99" s="2">
        <f>$B99+C99/12</f>
        <v>30</v>
      </c>
      <c r="E99">
        <f t="shared" si="10"/>
        <v>7.7420962972642005E-2</v>
      </c>
      <c r="F99" s="3">
        <f t="shared" si="11"/>
        <v>18.98020229986416</v>
      </c>
    </row>
    <row r="100" spans="2:6">
      <c r="B100">
        <v>35</v>
      </c>
      <c r="D100" s="2">
        <f>$B100+C100/12</f>
        <v>35</v>
      </c>
      <c r="E100">
        <f t="shared" si="10"/>
        <v>5.5193991670568154E-2</v>
      </c>
      <c r="F100" s="3">
        <f t="shared" si="11"/>
        <v>18.989957675810579</v>
      </c>
    </row>
    <row r="101" spans="2:6">
      <c r="B101">
        <v>40</v>
      </c>
      <c r="D101" s="2">
        <f>$B101+C101/12</f>
        <v>40</v>
      </c>
      <c r="E101">
        <f t="shared" si="10"/>
        <v>4.2822328972773049E-2</v>
      </c>
      <c r="F101" s="3">
        <f t="shared" si="11"/>
        <v>18.993959906686442</v>
      </c>
    </row>
    <row r="102" spans="2:6">
      <c r="B102">
        <v>45</v>
      </c>
      <c r="D102" s="2">
        <f t="shared" ref="D102:D119" si="15">$B102+C102/12</f>
        <v>45</v>
      </c>
      <c r="E102">
        <f t="shared" si="10"/>
        <v>3.4963013040154201E-2</v>
      </c>
      <c r="F102" s="3">
        <f t="shared" si="11"/>
        <v>18.995975186456445</v>
      </c>
    </row>
    <row r="103" spans="2:6">
      <c r="B103">
        <v>50</v>
      </c>
      <c r="D103" s="2">
        <f t="shared" si="15"/>
        <v>50</v>
      </c>
      <c r="E103">
        <f t="shared" si="10"/>
        <v>2.9534208467554224E-2</v>
      </c>
      <c r="F103" s="3">
        <f t="shared" si="11"/>
        <v>18.997128700135786</v>
      </c>
    </row>
    <row r="104" spans="2:6">
      <c r="B104">
        <v>55</v>
      </c>
      <c r="D104" s="2">
        <f t="shared" si="15"/>
        <v>55</v>
      </c>
      <c r="E104">
        <f t="shared" si="10"/>
        <v>2.5561563610853044E-2</v>
      </c>
      <c r="F104" s="3">
        <f t="shared" si="11"/>
        <v>18.997849496727426</v>
      </c>
    </row>
    <row r="105" spans="2:6">
      <c r="B105">
        <v>60</v>
      </c>
      <c r="D105" s="2">
        <f t="shared" si="15"/>
        <v>60</v>
      </c>
      <c r="E105">
        <f t="shared" si="10"/>
        <v>2.252935478641227E-2</v>
      </c>
      <c r="F105" s="3">
        <f t="shared" si="11"/>
        <v>18.998329597678236</v>
      </c>
    </row>
    <row r="106" spans="2:6">
      <c r="B106">
        <v>65</v>
      </c>
      <c r="D106" s="2">
        <f t="shared" si="15"/>
        <v>65</v>
      </c>
      <c r="E106">
        <f t="shared" si="10"/>
        <v>2.0139384594244913E-2</v>
      </c>
      <c r="F106" s="3">
        <f t="shared" si="11"/>
        <v>18.99866529031771</v>
      </c>
    </row>
    <row r="107" spans="2:6">
      <c r="B107">
        <v>70</v>
      </c>
      <c r="D107" s="2">
        <f t="shared" si="15"/>
        <v>70</v>
      </c>
      <c r="E107">
        <f t="shared" si="10"/>
        <v>1.8207350116273502E-2</v>
      </c>
      <c r="F107" s="3">
        <f t="shared" si="11"/>
        <v>18.998909145753487</v>
      </c>
    </row>
    <row r="108" spans="2:6">
      <c r="B108">
        <v>75</v>
      </c>
      <c r="D108" s="2">
        <f t="shared" si="15"/>
        <v>75</v>
      </c>
      <c r="E108">
        <f t="shared" si="10"/>
        <v>1.6613251896010928E-2</v>
      </c>
      <c r="F108" s="3">
        <f t="shared" si="11"/>
        <v>18.99909183100219</v>
      </c>
    </row>
    <row r="109" spans="2:6">
      <c r="B109">
        <v>80</v>
      </c>
      <c r="D109" s="2">
        <f t="shared" si="15"/>
        <v>80</v>
      </c>
      <c r="E109">
        <f t="shared" si="10"/>
        <v>1.5275619530516649E-2</v>
      </c>
      <c r="F109" s="3">
        <f t="shared" si="11"/>
        <v>18.999232209303901</v>
      </c>
    </row>
    <row r="110" spans="2:6">
      <c r="B110">
        <v>85</v>
      </c>
      <c r="D110" s="2">
        <f t="shared" si="15"/>
        <v>85</v>
      </c>
      <c r="E110">
        <f t="shared" si="10"/>
        <v>1.4137206715622297E-2</v>
      </c>
      <c r="F110" s="3">
        <f t="shared" si="11"/>
        <v>18.999342398454278</v>
      </c>
    </row>
    <row r="111" spans="2:6">
      <c r="B111">
        <v>90</v>
      </c>
      <c r="D111" s="2">
        <f t="shared" si="15"/>
        <v>90</v>
      </c>
      <c r="E111">
        <f t="shared" si="10"/>
        <v>1.3156615637734903E-2</v>
      </c>
      <c r="F111" s="3">
        <f t="shared" si="11"/>
        <v>18.999430470356739</v>
      </c>
    </row>
    <row r="112" spans="2:6">
      <c r="B112">
        <v>95</v>
      </c>
      <c r="D112" s="2">
        <f t="shared" si="15"/>
        <v>95</v>
      </c>
      <c r="E112">
        <f t="shared" si="10"/>
        <v>1.2303170053356571E-2</v>
      </c>
      <c r="F112" s="3">
        <f t="shared" si="11"/>
        <v>18.999501969658152</v>
      </c>
    </row>
    <row r="113" spans="2:6">
      <c r="B113">
        <v>100</v>
      </c>
      <c r="D113" s="2">
        <f t="shared" si="15"/>
        <v>100</v>
      </c>
      <c r="E113">
        <f t="shared" si="10"/>
        <v>1.1553656840728344E-2</v>
      </c>
      <c r="F113" s="3">
        <f t="shared" si="11"/>
        <v>18.999560806841011</v>
      </c>
    </row>
    <row r="114" spans="2:6">
      <c r="B114">
        <v>105</v>
      </c>
      <c r="D114" s="2">
        <f t="shared" si="15"/>
        <v>105</v>
      </c>
      <c r="E114">
        <f t="shared" si="10"/>
        <v>1.0890187367871285E-2</v>
      </c>
      <c r="F114" s="3">
        <f t="shared" si="11"/>
        <v>18.999609803754385</v>
      </c>
    </row>
    <row r="115" spans="2:6">
      <c r="B115">
        <v>110</v>
      </c>
      <c r="D115" s="2">
        <f t="shared" si="15"/>
        <v>110</v>
      </c>
      <c r="E115">
        <f t="shared" si="10"/>
        <v>1.0298754167960722E-2</v>
      </c>
      <c r="F115" s="3">
        <f t="shared" si="11"/>
        <v>18.999651037962295</v>
      </c>
    </row>
    <row r="116" spans="2:6">
      <c r="B116">
        <v>115</v>
      </c>
      <c r="D116" s="2">
        <f t="shared" si="15"/>
        <v>115</v>
      </c>
      <c r="E116">
        <f t="shared" si="10"/>
        <v>9.7682328247027939E-3</v>
      </c>
      <c r="F116" s="3">
        <f t="shared" si="11"/>
        <v>18.99968606642673</v>
      </c>
    </row>
    <row r="117" spans="2:6">
      <c r="B117">
        <v>120</v>
      </c>
      <c r="D117" s="2">
        <f t="shared" si="15"/>
        <v>120</v>
      </c>
      <c r="E117">
        <f t="shared" si="10"/>
        <v>9.2896767270589931E-3</v>
      </c>
      <c r="F117" s="3">
        <f t="shared" si="11"/>
        <v>18.999716074529342</v>
      </c>
    </row>
    <row r="118" spans="2:6">
      <c r="D118" s="2"/>
      <c r="F118" s="3"/>
    </row>
    <row r="119" spans="2:6">
      <c r="B119">
        <v>10000000000</v>
      </c>
      <c r="D119" s="2">
        <f t="shared" si="15"/>
        <v>10000000000</v>
      </c>
      <c r="E119">
        <f>(-1/(PI())*ATAN($N$3*(D119-$I$8))+1/2)</f>
        <v>9.4781571480240245E-11</v>
      </c>
      <c r="F119" s="3">
        <f>$O$3*E119*(D119-$I$8)+$I$8</f>
        <v>18.99999955454863</v>
      </c>
    </row>
  </sheetData>
  <sheetProtection algorithmName="SHA-512" hashValue="71VEyq+35R4O5UMoBtKln2ScH5sbM2JvgiOoeox5jdzNAIUHOaFmlJ0dfmIHgT13szJsc0G9cMX13DIXb2Dqfg==" saltValue="iC6xAPzpv7xV1a0P9K7F7Q==" spinCount="100000" sheet="1" objects="1" scenarios="1"/>
  <phoneticPr fontId="1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1235C-A11A-42BA-B6E9-7AEB1CB73850}">
  <dimension ref="A1:P119"/>
  <sheetViews>
    <sheetView topLeftCell="D1" zoomScaleNormal="100" workbookViewId="0">
      <selection activeCell="L39" sqref="L39"/>
    </sheetView>
  </sheetViews>
  <sheetFormatPr defaultRowHeight="17.649999999999999"/>
  <cols>
    <col min="2" max="2" width="10.3125" customWidth="1"/>
    <col min="10" max="10" width="13.1875" customWidth="1"/>
  </cols>
  <sheetData>
    <row r="1" spans="1:16">
      <c r="A1" t="s">
        <v>0</v>
      </c>
    </row>
    <row r="2" spans="1:16">
      <c r="B2" t="s">
        <v>1</v>
      </c>
      <c r="C2" t="s">
        <v>2</v>
      </c>
      <c r="D2" t="s">
        <v>3</v>
      </c>
      <c r="E2" t="s">
        <v>4</v>
      </c>
      <c r="F2" t="s">
        <v>5</v>
      </c>
      <c r="H2" t="s">
        <v>6</v>
      </c>
      <c r="J2" t="s">
        <v>7</v>
      </c>
      <c r="N2" s="1" t="s">
        <v>8</v>
      </c>
      <c r="O2" t="s">
        <v>9</v>
      </c>
    </row>
    <row r="3" spans="1:16">
      <c r="B3">
        <v>0</v>
      </c>
      <c r="C3">
        <v>0</v>
      </c>
      <c r="D3" s="2">
        <f>$B$3+C3/12</f>
        <v>0</v>
      </c>
      <c r="E3">
        <f>(-1/(PI())*ATAN($N$3*(D3-$I$8))+1/2)</f>
        <v>0.95728706392918306</v>
      </c>
      <c r="F3" s="3">
        <f>$O$3*E3*(D3-$I$8)+$I$8</f>
        <v>0</v>
      </c>
      <c r="I3" t="s">
        <v>10</v>
      </c>
      <c r="J3" t="s">
        <v>11</v>
      </c>
      <c r="M3" s="4"/>
      <c r="N3" s="5">
        <v>2.469174572514</v>
      </c>
      <c r="O3">
        <f>(0.5+(1/(PI())*ATAN($I$8*N3)))^-1</f>
        <v>1.0446187331681906</v>
      </c>
    </row>
    <row r="4" spans="1:16">
      <c r="B4">
        <f>IF(C4=0,B3+1,B3)</f>
        <v>0</v>
      </c>
      <c r="C4">
        <v>1</v>
      </c>
      <c r="D4" s="2">
        <f t="shared" ref="D4:D14" si="0">$B$3+C4/12</f>
        <v>8.3333333333333329E-2</v>
      </c>
      <c r="E4">
        <f t="shared" ref="E4:E67" si="1">(-1/(PI())*ATAN($N$3*(D4-$I$8))+1/2)</f>
        <v>0.95608191307381496</v>
      </c>
      <c r="F4" s="3">
        <f t="shared" ref="F4:F67" si="2">$O$3*E4*(D4-$I$8)+$I$8</f>
        <v>8.7005192549449717E-2</v>
      </c>
      <c r="J4" t="s">
        <v>12</v>
      </c>
      <c r="N4" t="s">
        <v>16</v>
      </c>
    </row>
    <row r="5" spans="1:16">
      <c r="B5">
        <f t="shared" ref="B5:B68" si="3">IF(C5=0,B4+1,B4)</f>
        <v>0</v>
      </c>
      <c r="C5">
        <v>2</v>
      </c>
      <c r="D5" s="2">
        <f t="shared" si="0"/>
        <v>0.16666666666666666</v>
      </c>
      <c r="E5">
        <f t="shared" si="1"/>
        <v>0.9548072513649889</v>
      </c>
      <c r="F5" s="3">
        <f t="shared" si="2"/>
        <v>0.17400629953469204</v>
      </c>
      <c r="J5" t="s">
        <v>14</v>
      </c>
    </row>
    <row r="6" spans="1:16">
      <c r="B6">
        <f t="shared" si="3"/>
        <v>0</v>
      </c>
      <c r="C6">
        <v>3</v>
      </c>
      <c r="D6" s="2">
        <f t="shared" si="0"/>
        <v>0.25</v>
      </c>
      <c r="E6">
        <f t="shared" si="1"/>
        <v>0.95345693099811646</v>
      </c>
      <c r="F6" s="3">
        <f t="shared" si="2"/>
        <v>0.26100282867837077</v>
      </c>
    </row>
    <row r="7" spans="1:16">
      <c r="B7">
        <f t="shared" si="3"/>
        <v>0</v>
      </c>
      <c r="C7">
        <v>4</v>
      </c>
      <c r="D7" s="2">
        <f t="shared" si="0"/>
        <v>0.33333333333333331</v>
      </c>
      <c r="E7">
        <f t="shared" si="1"/>
        <v>0.95202406300410392</v>
      </c>
      <c r="F7" s="3">
        <f t="shared" si="2"/>
        <v>0.34799421162405153</v>
      </c>
      <c r="I7" t="s">
        <v>15</v>
      </c>
      <c r="J7" t="s">
        <v>8</v>
      </c>
      <c r="K7" t="s">
        <v>9</v>
      </c>
    </row>
    <row r="8" spans="1:16">
      <c r="B8">
        <f t="shared" si="3"/>
        <v>0</v>
      </c>
      <c r="C8">
        <v>5</v>
      </c>
      <c r="D8" s="2">
        <f t="shared" si="0"/>
        <v>0.41666666666666669</v>
      </c>
      <c r="E8">
        <f t="shared" si="1"/>
        <v>0.95050090307379675</v>
      </c>
      <c r="F8" s="3">
        <f t="shared" si="2"/>
        <v>0.43497978945255866</v>
      </c>
      <c r="I8">
        <v>3</v>
      </c>
      <c r="J8">
        <v>0</v>
      </c>
      <c r="K8" s="6">
        <f>(0.5+(1/(PI())*ATAN($I$8*J8)))^-1</f>
        <v>2</v>
      </c>
      <c r="P8" s="7"/>
    </row>
    <row r="9" spans="1:16">
      <c r="B9">
        <f t="shared" si="3"/>
        <v>0</v>
      </c>
      <c r="C9">
        <v>6</v>
      </c>
      <c r="D9" s="2">
        <f t="shared" si="0"/>
        <v>0.5</v>
      </c>
      <c r="E9">
        <f t="shared" si="1"/>
        <v>0.94887871581232575</v>
      </c>
      <c r="F9" s="3">
        <f t="shared" si="2"/>
        <v>0.52195879489467156</v>
      </c>
      <c r="J9" s="6">
        <v>0.1</v>
      </c>
      <c r="K9" s="6">
        <f>(0.5+(1/(PI())*ATAN(3*J9)))^-1</f>
        <v>1.6869847700631908</v>
      </c>
      <c r="P9" s="7"/>
    </row>
    <row r="10" spans="1:16">
      <c r="B10">
        <f t="shared" si="3"/>
        <v>0</v>
      </c>
      <c r="C10">
        <v>7</v>
      </c>
      <c r="D10" s="2">
        <f t="shared" si="0"/>
        <v>0.58333333333333337</v>
      </c>
      <c r="E10">
        <f t="shared" si="1"/>
        <v>0.9471476125672329</v>
      </c>
      <c r="F10" s="3">
        <f t="shared" si="2"/>
        <v>0.60893033035545718</v>
      </c>
      <c r="J10">
        <v>0.2</v>
      </c>
      <c r="K10">
        <f t="shared" ref="K10:K45" si="4">(0.5+(1/(PI())*ATAN(3*J10)))^-1</f>
        <v>1.4880490252654563</v>
      </c>
    </row>
    <row r="11" spans="1:16">
      <c r="B11">
        <f t="shared" si="3"/>
        <v>0</v>
      </c>
      <c r="C11">
        <v>8</v>
      </c>
      <c r="D11" s="2">
        <f t="shared" si="0"/>
        <v>0.66666666666666663</v>
      </c>
      <c r="E11">
        <f t="shared" si="1"/>
        <v>0.94529635669917655</v>
      </c>
      <c r="F11" s="3">
        <f t="shared" si="2"/>
        <v>0.69589334059160013</v>
      </c>
      <c r="J11">
        <v>0.3</v>
      </c>
      <c r="K11">
        <f t="shared" si="4"/>
        <v>1.363768478750963</v>
      </c>
    </row>
    <row r="12" spans="1:16">
      <c r="B12">
        <f t="shared" si="3"/>
        <v>0</v>
      </c>
      <c r="C12">
        <v>9</v>
      </c>
      <c r="D12" s="2">
        <f t="shared" si="0"/>
        <v>0.75</v>
      </c>
      <c r="E12">
        <f t="shared" si="1"/>
        <v>0.94331212850510737</v>
      </c>
      <c r="F12" s="3">
        <f t="shared" si="2"/>
        <v>0.78284657851231199</v>
      </c>
      <c r="J12">
        <v>0.4</v>
      </c>
      <c r="K12">
        <f t="shared" si="4"/>
        <v>1.2839311904359776</v>
      </c>
    </row>
    <row r="13" spans="1:16">
      <c r="B13">
        <f t="shared" si="3"/>
        <v>0</v>
      </c>
      <c r="C13">
        <v>10</v>
      </c>
      <c r="D13" s="2">
        <f t="shared" si="0"/>
        <v>0.83333333333333337</v>
      </c>
      <c r="E13">
        <f t="shared" si="1"/>
        <v>0.9411802398305722</v>
      </c>
      <c r="F13" s="3">
        <f t="shared" si="2"/>
        <v>0.86978856206805011</v>
      </c>
      <c r="J13">
        <v>0.5</v>
      </c>
      <c r="K13">
        <f t="shared" si="4"/>
        <v>1.2302650746692267</v>
      </c>
    </row>
    <row r="14" spans="1:16">
      <c r="B14">
        <f t="shared" si="3"/>
        <v>0</v>
      </c>
      <c r="C14">
        <v>11</v>
      </c>
      <c r="D14" s="2">
        <f t="shared" si="0"/>
        <v>0.91666666666666663</v>
      </c>
      <c r="E14">
        <f t="shared" si="1"/>
        <v>0.93888378554026242</v>
      </c>
      <c r="F14" s="3">
        <f t="shared" si="2"/>
        <v>0.95671751949328288</v>
      </c>
      <c r="J14">
        <v>0.6</v>
      </c>
      <c r="K14">
        <f t="shared" si="4"/>
        <v>1.1924842021557778</v>
      </c>
    </row>
    <row r="15" spans="1:16">
      <c r="B15">
        <f t="shared" si="3"/>
        <v>1</v>
      </c>
      <c r="C15">
        <v>0</v>
      </c>
      <c r="D15" s="2">
        <f>$B$15+C15/12</f>
        <v>1</v>
      </c>
      <c r="E15">
        <f t="shared" si="1"/>
        <v>0.93640321520409842</v>
      </c>
      <c r="F15" s="3">
        <f t="shared" si="2"/>
        <v>1.0436313191977482</v>
      </c>
      <c r="G15" s="3">
        <f>F15-B15</f>
        <v>4.3631319197748208E-2</v>
      </c>
      <c r="H15" t="str">
        <f>IF((12*ABS(G15))&lt;1,"○","×")</f>
        <v>○</v>
      </c>
      <c r="J15">
        <v>0.7</v>
      </c>
      <c r="K15">
        <f t="shared" si="4"/>
        <v>1.1647722028930052</v>
      </c>
    </row>
    <row r="16" spans="1:16">
      <c r="B16">
        <f t="shared" si="3"/>
        <v>1</v>
      </c>
      <c r="C16">
        <v>1</v>
      </c>
      <c r="D16" s="2">
        <f t="shared" ref="D16:D26" si="5">$B$15+C16/12</f>
        <v>1.0833333333333333</v>
      </c>
      <c r="E16">
        <f t="shared" si="1"/>
        <v>0.9337158032501699</v>
      </c>
      <c r="F16" s="3">
        <f t="shared" si="2"/>
        <v>1.1305273792335686</v>
      </c>
      <c r="J16">
        <v>0.8</v>
      </c>
      <c r="K16">
        <f t="shared" si="4"/>
        <v>1.1437275736265722</v>
      </c>
    </row>
    <row r="17" spans="2:11">
      <c r="B17">
        <f t="shared" si="3"/>
        <v>1</v>
      </c>
      <c r="C17">
        <v>2</v>
      </c>
      <c r="D17" s="2">
        <f t="shared" si="5"/>
        <v>1.1666666666666667</v>
      </c>
      <c r="E17">
        <f t="shared" si="1"/>
        <v>0.93079498894259982</v>
      </c>
      <c r="F17" s="3">
        <f t="shared" si="2"/>
        <v>1.2174025493210492</v>
      </c>
      <c r="J17">
        <v>0.9</v>
      </c>
      <c r="K17">
        <f t="shared" si="4"/>
        <v>1.1272766537753374</v>
      </c>
    </row>
    <row r="18" spans="2:11">
      <c r="B18">
        <f t="shared" si="3"/>
        <v>1</v>
      </c>
      <c r="C18">
        <v>3</v>
      </c>
      <c r="D18" s="2">
        <f t="shared" si="5"/>
        <v>1.25</v>
      </c>
      <c r="E18">
        <f t="shared" si="1"/>
        <v>0.92760954816190022</v>
      </c>
      <c r="F18" s="3">
        <f t="shared" si="2"/>
        <v>1.3042529556176965</v>
      </c>
      <c r="J18">
        <v>1</v>
      </c>
      <c r="K18">
        <f t="shared" si="4"/>
        <v>1.114102330229308</v>
      </c>
    </row>
    <row r="19" spans="2:11">
      <c r="B19">
        <f t="shared" si="3"/>
        <v>1</v>
      </c>
      <c r="C19">
        <v>4</v>
      </c>
      <c r="D19" s="2">
        <f t="shared" si="5"/>
        <v>1.3333333333333333</v>
      </c>
      <c r="E19">
        <f t="shared" si="1"/>
        <v>0.92412254609789057</v>
      </c>
      <c r="F19" s="3">
        <f t="shared" si="2"/>
        <v>1.391073794338431</v>
      </c>
      <c r="J19">
        <v>1.1000000000000001</v>
      </c>
      <c r="K19">
        <f t="shared" si="4"/>
        <v>1.1033359893515897</v>
      </c>
    </row>
    <row r="20" spans="2:11">
      <c r="B20">
        <f t="shared" si="3"/>
        <v>1</v>
      </c>
      <c r="C20">
        <v>5</v>
      </c>
      <c r="D20" s="2">
        <f t="shared" si="5"/>
        <v>1.4166666666666667</v>
      </c>
      <c r="E20">
        <f t="shared" si="1"/>
        <v>0.92029000217534906</v>
      </c>
      <c r="F20" s="3">
        <f t="shared" si="2"/>
        <v>1.4778590543187062</v>
      </c>
      <c r="J20">
        <v>1.2</v>
      </c>
      <c r="K20">
        <f t="shared" si="4"/>
        <v>1.0943853296117336</v>
      </c>
    </row>
    <row r="21" spans="2:11">
      <c r="B21">
        <f t="shared" si="3"/>
        <v>1</v>
      </c>
      <c r="C21">
        <v>6</v>
      </c>
      <c r="D21" s="2">
        <f t="shared" si="5"/>
        <v>1.5</v>
      </c>
      <c r="E21">
        <f t="shared" si="1"/>
        <v>0.91605917375232104</v>
      </c>
      <c r="F21" s="3">
        <f t="shared" si="2"/>
        <v>1.5646011396116264</v>
      </c>
      <c r="J21">
        <v>1.3</v>
      </c>
      <c r="K21">
        <f t="shared" si="4"/>
        <v>1.0868344142590938</v>
      </c>
    </row>
    <row r="22" spans="2:11">
      <c r="B22">
        <f t="shared" si="3"/>
        <v>1</v>
      </c>
      <c r="C22">
        <v>7</v>
      </c>
      <c r="D22" s="2">
        <f t="shared" si="5"/>
        <v>1.5833333333333335</v>
      </c>
      <c r="E22">
        <f t="shared" si="1"/>
        <v>0.91136633037980419</v>
      </c>
      <c r="F22" s="3">
        <f t="shared" si="2"/>
        <v>1.6512903495508839</v>
      </c>
      <c r="J22">
        <v>1.4</v>
      </c>
      <c r="K22">
        <f t="shared" si="4"/>
        <v>1.0803835215893025</v>
      </c>
    </row>
    <row r="23" spans="2:11">
      <c r="B23">
        <f t="shared" si="3"/>
        <v>1</v>
      </c>
      <c r="C23">
        <v>8</v>
      </c>
      <c r="D23" s="2">
        <f t="shared" si="5"/>
        <v>1.6666666666666665</v>
      </c>
      <c r="E23">
        <f t="shared" si="1"/>
        <v>0.90613384141229603</v>
      </c>
      <c r="F23" s="3">
        <f t="shared" si="2"/>
        <v>1.737914152670748</v>
      </c>
      <c r="J23">
        <v>1.5</v>
      </c>
      <c r="K23">
        <f t="shared" si="4"/>
        <v>1.0748117185873534</v>
      </c>
    </row>
    <row r="24" spans="2:11">
      <c r="B24">
        <f t="shared" si="3"/>
        <v>1</v>
      </c>
      <c r="C24">
        <v>9</v>
      </c>
      <c r="D24" s="2">
        <f t="shared" si="5"/>
        <v>1.75</v>
      </c>
      <c r="E24">
        <f t="shared" si="1"/>
        <v>0.90026633045348148</v>
      </c>
      <c r="F24" s="3">
        <f t="shared" si="2"/>
        <v>1.8244561579596357</v>
      </c>
      <c r="J24">
        <v>1.6</v>
      </c>
      <c r="K24">
        <f t="shared" si="4"/>
        <v>1.069952857623051</v>
      </c>
    </row>
    <row r="25" spans="2:11">
      <c r="B25">
        <f t="shared" si="3"/>
        <v>1</v>
      </c>
      <c r="C25">
        <v>10</v>
      </c>
      <c r="D25" s="2">
        <f t="shared" si="5"/>
        <v>1.8333333333333335</v>
      </c>
      <c r="E25">
        <f t="shared" si="1"/>
        <v>0.89364555217519714</v>
      </c>
      <c r="F25" s="3">
        <f t="shared" si="2"/>
        <v>1.9108946346162505</v>
      </c>
      <c r="J25">
        <v>1.7</v>
      </c>
      <c r="K25">
        <f t="shared" si="4"/>
        <v>1.0656797557163429</v>
      </c>
    </row>
    <row r="26" spans="2:11">
      <c r="B26">
        <f t="shared" si="3"/>
        <v>1</v>
      </c>
      <c r="C26">
        <v>11</v>
      </c>
      <c r="D26" s="2">
        <f t="shared" si="5"/>
        <v>1.9166666666666665</v>
      </c>
      <c r="E26">
        <f t="shared" si="1"/>
        <v>0.88612350969034526</v>
      </c>
      <c r="F26" s="3">
        <f t="shared" si="2"/>
        <v>1.9972003470331139</v>
      </c>
      <c r="J26">
        <v>1.8</v>
      </c>
      <c r="K26">
        <f t="shared" si="4"/>
        <v>1.06189350734355</v>
      </c>
    </row>
    <row r="27" spans="2:11">
      <c r="B27">
        <f t="shared" si="3"/>
        <v>2</v>
      </c>
      <c r="C27">
        <v>0</v>
      </c>
      <c r="D27" s="2">
        <f>$B$27+C27/12</f>
        <v>2</v>
      </c>
      <c r="E27">
        <f t="shared" si="1"/>
        <v>0.87751314193509011</v>
      </c>
      <c r="F27" s="3">
        <f t="shared" si="2"/>
        <v>2.0833333333333277</v>
      </c>
      <c r="G27" s="3">
        <f>F27-B27</f>
        <v>8.3333333333327708E-2</v>
      </c>
      <c r="H27" t="str">
        <f>IF((12*ABS(G27))&lt;1,"○","×")</f>
        <v>○</v>
      </c>
      <c r="J27">
        <v>1.9</v>
      </c>
      <c r="K27">
        <f t="shared" si="4"/>
        <v>1.0585161032595618</v>
      </c>
    </row>
    <row r="28" spans="2:11">
      <c r="B28">
        <f t="shared" si="3"/>
        <v>2</v>
      </c>
      <c r="C28">
        <v>1</v>
      </c>
      <c r="D28" s="2">
        <f t="shared" ref="D28:D38" si="6">$B$27+C28/12</f>
        <v>2.0833333333333335</v>
      </c>
      <c r="E28">
        <f t="shared" si="1"/>
        <v>0.86757566292382049</v>
      </c>
      <c r="F28" s="3">
        <f t="shared" si="2"/>
        <v>2.1692380258965516</v>
      </c>
      <c r="J28">
        <v>2</v>
      </c>
      <c r="K28">
        <f t="shared" si="4"/>
        <v>1.0554852296016835</v>
      </c>
    </row>
    <row r="29" spans="2:11">
      <c r="B29">
        <f t="shared" si="3"/>
        <v>2</v>
      </c>
      <c r="C29">
        <v>2</v>
      </c>
      <c r="D29" s="2">
        <f t="shared" si="6"/>
        <v>2.1666666666666665</v>
      </c>
      <c r="E29">
        <f t="shared" si="1"/>
        <v>0.85600334323251448</v>
      </c>
      <c r="F29" s="3">
        <f t="shared" si="2"/>
        <v>2.2548357266705956</v>
      </c>
      <c r="J29">
        <v>2.1</v>
      </c>
      <c r="K29">
        <f t="shared" si="4"/>
        <v>1.0527505362573033</v>
      </c>
    </row>
    <row r="30" spans="2:11">
      <c r="B30">
        <f t="shared" si="3"/>
        <v>2</v>
      </c>
      <c r="C30">
        <v>3</v>
      </c>
      <c r="D30" s="2">
        <f t="shared" si="6"/>
        <v>2.25</v>
      </c>
      <c r="E30">
        <f t="shared" si="1"/>
        <v>0.84239627685349294</v>
      </c>
      <c r="F30" s="3">
        <f t="shared" si="2"/>
        <v>2.3400128013357779</v>
      </c>
      <c r="J30">
        <v>2.2000000000000002</v>
      </c>
      <c r="K30">
        <f t="shared" si="4"/>
        <v>1.0502709150099199</v>
      </c>
    </row>
    <row r="31" spans="2:11">
      <c r="B31">
        <f t="shared" si="3"/>
        <v>2</v>
      </c>
      <c r="C31">
        <v>4</v>
      </c>
      <c r="D31" s="2">
        <f t="shared" si="6"/>
        <v>2.3333333333333335</v>
      </c>
      <c r="E31">
        <f t="shared" si="1"/>
        <v>0.82623176949545352</v>
      </c>
      <c r="F31" s="3">
        <f t="shared" si="2"/>
        <v>2.4246018770975648</v>
      </c>
      <c r="J31">
        <v>2.2999999999999998</v>
      </c>
      <c r="K31">
        <f t="shared" si="4"/>
        <v>1.0480124842365717</v>
      </c>
    </row>
    <row r="32" spans="2:11">
      <c r="B32">
        <f t="shared" si="3"/>
        <v>2</v>
      </c>
      <c r="C32">
        <v>5</v>
      </c>
      <c r="D32" s="2">
        <f t="shared" si="6"/>
        <v>2.4166666666666665</v>
      </c>
      <c r="E32">
        <f t="shared" si="1"/>
        <v>0.80682625656360951</v>
      </c>
      <c r="F32" s="3">
        <f t="shared" si="2"/>
        <v>2.5083516038226517</v>
      </c>
      <c r="J32">
        <v>2.4</v>
      </c>
      <c r="K32">
        <f t="shared" si="4"/>
        <v>1.0459470761662804</v>
      </c>
    </row>
    <row r="33" spans="2:11">
      <c r="B33">
        <f t="shared" si="3"/>
        <v>2</v>
      </c>
      <c r="C33">
        <v>6</v>
      </c>
      <c r="D33" s="2">
        <f t="shared" si="6"/>
        <v>2.5</v>
      </c>
      <c r="E33">
        <f t="shared" si="1"/>
        <v>0.78329426368728505</v>
      </c>
      <c r="F33" s="3">
        <f t="shared" si="2"/>
        <v>2.590878069284539</v>
      </c>
      <c r="J33">
        <v>2.5</v>
      </c>
      <c r="K33">
        <f t="shared" si="4"/>
        <v>1.0440510870252615</v>
      </c>
    </row>
    <row r="34" spans="2:11">
      <c r="B34">
        <f t="shared" si="3"/>
        <v>2</v>
      </c>
      <c r="C34">
        <v>7</v>
      </c>
      <c r="D34" s="2">
        <f t="shared" si="6"/>
        <v>2.5833333333333335</v>
      </c>
      <c r="E34">
        <f t="shared" si="1"/>
        <v>0.75452180730129403</v>
      </c>
      <c r="F34" s="3">
        <f t="shared" si="2"/>
        <v>2.6715884939621453</v>
      </c>
      <c r="J34">
        <v>2.6</v>
      </c>
      <c r="K34">
        <f t="shared" si="4"/>
        <v>1.042304592866373</v>
      </c>
    </row>
    <row r="35" spans="2:11">
      <c r="B35">
        <f t="shared" si="3"/>
        <v>2</v>
      </c>
      <c r="C35">
        <v>8</v>
      </c>
      <c r="D35" s="2">
        <f t="shared" si="6"/>
        <v>2.6666666666666665</v>
      </c>
      <c r="E35">
        <f t="shared" si="1"/>
        <v>0.71920204489723805</v>
      </c>
      <c r="F35" s="3">
        <f t="shared" si="2"/>
        <v>2.7495693569891584</v>
      </c>
      <c r="J35">
        <v>2.7</v>
      </c>
      <c r="K35">
        <f t="shared" si="4"/>
        <v>1.0406906624160186</v>
      </c>
    </row>
    <row r="36" spans="2:11">
      <c r="B36">
        <f t="shared" si="3"/>
        <v>2</v>
      </c>
      <c r="C36">
        <v>9</v>
      </c>
      <c r="D36" s="2">
        <f t="shared" si="6"/>
        <v>2.75</v>
      </c>
      <c r="E36">
        <f t="shared" si="1"/>
        <v>0.67603761001945395</v>
      </c>
      <c r="F36" s="3">
        <f t="shared" si="2"/>
        <v>2.8234496120618569</v>
      </c>
      <c r="J36">
        <v>2.8</v>
      </c>
      <c r="K36">
        <f t="shared" si="4"/>
        <v>1.0391948177534251</v>
      </c>
    </row>
    <row r="37" spans="2:11">
      <c r="B37">
        <f t="shared" si="3"/>
        <v>2</v>
      </c>
      <c r="C37">
        <v>10</v>
      </c>
      <c r="D37" s="2">
        <f t="shared" si="6"/>
        <v>2.8333333333333335</v>
      </c>
      <c r="E37">
        <f t="shared" si="1"/>
        <v>0.62426995352981385</v>
      </c>
      <c r="F37" s="3">
        <f t="shared" si="2"/>
        <v>2.89131265199812</v>
      </c>
      <c r="J37">
        <v>2.9</v>
      </c>
      <c r="K37">
        <f t="shared" si="4"/>
        <v>1.0378046071363358</v>
      </c>
    </row>
    <row r="38" spans="2:11">
      <c r="B38">
        <f t="shared" si="3"/>
        <v>2</v>
      </c>
      <c r="C38">
        <v>11</v>
      </c>
      <c r="D38" s="2">
        <f t="shared" si="6"/>
        <v>2.9166666666666665</v>
      </c>
      <c r="E38">
        <f t="shared" si="1"/>
        <v>0.56459532542544411</v>
      </c>
      <c r="F38" s="3">
        <f t="shared" si="2"/>
        <v>2.9508510955334493</v>
      </c>
      <c r="J38">
        <v>3</v>
      </c>
      <c r="K38">
        <f t="shared" si="4"/>
        <v>1.0365092637706548</v>
      </c>
    </row>
    <row r="39" spans="2:11">
      <c r="B39">
        <f t="shared" si="3"/>
        <v>3</v>
      </c>
      <c r="C39">
        <v>0</v>
      </c>
      <c r="D39" s="2">
        <f>$B$39+C39/12</f>
        <v>3</v>
      </c>
      <c r="E39">
        <f t="shared" si="1"/>
        <v>0.5</v>
      </c>
      <c r="F39" s="3">
        <f t="shared" si="2"/>
        <v>3</v>
      </c>
      <c r="J39">
        <v>4</v>
      </c>
      <c r="K39">
        <f t="shared" si="4"/>
        <v>1.0271840943094632</v>
      </c>
    </row>
    <row r="40" spans="2:11">
      <c r="B40">
        <f t="shared" si="3"/>
        <v>3</v>
      </c>
      <c r="C40">
        <v>1</v>
      </c>
      <c r="D40" s="2">
        <f t="shared" ref="D40:D50" si="7">$B$39+C40/12</f>
        <v>3.0833333333333335</v>
      </c>
      <c r="E40">
        <f t="shared" si="1"/>
        <v>0.43540467457455584</v>
      </c>
      <c r="F40" s="3">
        <f t="shared" si="2"/>
        <v>3.0379026566307985</v>
      </c>
      <c r="J40">
        <v>5</v>
      </c>
      <c r="K40">
        <f t="shared" si="4"/>
        <v>1.0216480109333539</v>
      </c>
    </row>
    <row r="41" spans="2:11">
      <c r="B41">
        <f t="shared" si="3"/>
        <v>3</v>
      </c>
      <c r="C41">
        <v>2</v>
      </c>
      <c r="D41" s="2">
        <f t="shared" si="7"/>
        <v>3.1666666666666665</v>
      </c>
      <c r="E41">
        <f t="shared" si="1"/>
        <v>0.37573004647018615</v>
      </c>
      <c r="F41" s="3">
        <f t="shared" si="2"/>
        <v>3.0654157741928185</v>
      </c>
      <c r="J41">
        <v>6</v>
      </c>
      <c r="K41">
        <f t="shared" si="4"/>
        <v>1.0179834128765954</v>
      </c>
    </row>
    <row r="42" spans="2:11">
      <c r="B42">
        <f t="shared" si="3"/>
        <v>3</v>
      </c>
      <c r="C42">
        <v>3</v>
      </c>
      <c r="D42" s="2">
        <f t="shared" si="7"/>
        <v>3.25</v>
      </c>
      <c r="E42">
        <f t="shared" si="1"/>
        <v>0.32396238998054605</v>
      </c>
      <c r="F42" s="3">
        <f t="shared" si="2"/>
        <v>3.0846042953539041</v>
      </c>
      <c r="J42">
        <v>7</v>
      </c>
      <c r="K42">
        <f t="shared" si="4"/>
        <v>1.0153791067878806</v>
      </c>
    </row>
    <row r="43" spans="2:11">
      <c r="B43">
        <f t="shared" si="3"/>
        <v>3</v>
      </c>
      <c r="C43">
        <v>4</v>
      </c>
      <c r="D43" s="2">
        <f t="shared" si="7"/>
        <v>3.3333333333333335</v>
      </c>
      <c r="E43">
        <f t="shared" si="1"/>
        <v>0.28079795510276195</v>
      </c>
      <c r="F43" s="3">
        <f t="shared" si="2"/>
        <v>3.0977756013785553</v>
      </c>
      <c r="J43">
        <v>8</v>
      </c>
      <c r="K43">
        <f t="shared" si="4"/>
        <v>1.0134333063752401</v>
      </c>
    </row>
    <row r="44" spans="2:11">
      <c r="B44">
        <f t="shared" si="3"/>
        <v>3</v>
      </c>
      <c r="C44">
        <v>5</v>
      </c>
      <c r="D44" s="2">
        <f t="shared" si="7"/>
        <v>3.4166666666666665</v>
      </c>
      <c r="E44">
        <f t="shared" si="1"/>
        <v>0.24547819269870597</v>
      </c>
      <c r="F44" s="3">
        <f t="shared" si="2"/>
        <v>3.1068462994488915</v>
      </c>
      <c r="J44">
        <v>9</v>
      </c>
      <c r="K44">
        <f t="shared" si="4"/>
        <v>1.0119243842507113</v>
      </c>
    </row>
    <row r="45" spans="2:11">
      <c r="B45">
        <f t="shared" si="3"/>
        <v>3</v>
      </c>
      <c r="C45">
        <v>6</v>
      </c>
      <c r="D45" s="2">
        <f t="shared" si="7"/>
        <v>3.5</v>
      </c>
      <c r="E45">
        <f t="shared" si="1"/>
        <v>0.21670573631271489</v>
      </c>
      <c r="F45" s="3">
        <f t="shared" si="2"/>
        <v>3.113187435868634</v>
      </c>
      <c r="J45" s="6">
        <v>10</v>
      </c>
      <c r="K45" s="6">
        <f t="shared" si="4"/>
        <v>1.0107201041439151</v>
      </c>
    </row>
    <row r="46" spans="2:11">
      <c r="B46">
        <f t="shared" si="3"/>
        <v>3</v>
      </c>
      <c r="C46">
        <v>7</v>
      </c>
      <c r="D46" s="2">
        <f t="shared" si="7"/>
        <v>3.5833333333333335</v>
      </c>
      <c r="E46">
        <f t="shared" si="1"/>
        <v>0.19317374343639054</v>
      </c>
      <c r="F46" s="3">
        <f t="shared" si="2"/>
        <v>3.1177125315040963</v>
      </c>
    </row>
    <row r="47" spans="2:11">
      <c r="B47">
        <f t="shared" si="3"/>
        <v>3</v>
      </c>
      <c r="C47">
        <v>8</v>
      </c>
      <c r="D47" s="2">
        <f t="shared" si="7"/>
        <v>3.6666666666666665</v>
      </c>
      <c r="E47">
        <f t="shared" si="1"/>
        <v>0.17376823050454643</v>
      </c>
      <c r="F47" s="3">
        <f t="shared" si="2"/>
        <v>3.1210143658763583</v>
      </c>
    </row>
    <row r="48" spans="2:11">
      <c r="B48">
        <f t="shared" si="3"/>
        <v>3</v>
      </c>
      <c r="C48">
        <v>9</v>
      </c>
      <c r="D48" s="2">
        <f t="shared" si="7"/>
        <v>3.75</v>
      </c>
      <c r="E48">
        <f t="shared" si="1"/>
        <v>0.15760372314650711</v>
      </c>
      <c r="F48" s="3">
        <f t="shared" si="2"/>
        <v>3.1234768512119206</v>
      </c>
    </row>
    <row r="49" spans="2:6">
      <c r="B49">
        <f t="shared" si="3"/>
        <v>3</v>
      </c>
      <c r="C49">
        <v>10</v>
      </c>
      <c r="D49" s="2">
        <f t="shared" si="7"/>
        <v>3.8333333333333335</v>
      </c>
      <c r="E49">
        <f t="shared" si="1"/>
        <v>0.14399665676748558</v>
      </c>
      <c r="F49" s="3">
        <f t="shared" si="2"/>
        <v>3.125351337644088</v>
      </c>
    </row>
    <row r="50" spans="2:6">
      <c r="B50">
        <f t="shared" si="3"/>
        <v>3</v>
      </c>
      <c r="C50">
        <v>11</v>
      </c>
      <c r="D50" s="2">
        <f t="shared" si="7"/>
        <v>3.9166666666666665</v>
      </c>
      <c r="E50">
        <f t="shared" si="1"/>
        <v>0.13242433707617951</v>
      </c>
      <c r="F50" s="3">
        <f t="shared" si="2"/>
        <v>3.1268051979673932</v>
      </c>
    </row>
    <row r="51" spans="2:6">
      <c r="B51">
        <f t="shared" si="3"/>
        <v>4</v>
      </c>
      <c r="C51">
        <v>0</v>
      </c>
      <c r="D51" s="2">
        <f>$B$51+C51/12</f>
        <v>4</v>
      </c>
      <c r="E51">
        <f t="shared" si="1"/>
        <v>0.12248685806490994</v>
      </c>
      <c r="F51" s="3">
        <f t="shared" si="2"/>
        <v>3.1279520665015181</v>
      </c>
    </row>
    <row r="52" spans="2:6">
      <c r="B52">
        <f t="shared" si="3"/>
        <v>4</v>
      </c>
      <c r="C52">
        <v>1</v>
      </c>
      <c r="D52" s="2">
        <f t="shared" ref="D52:D62" si="8">$B$51+C52/12</f>
        <v>4.083333333333333</v>
      </c>
      <c r="E52">
        <f t="shared" si="1"/>
        <v>0.1138764903096548</v>
      </c>
      <c r="F52" s="3">
        <f t="shared" si="2"/>
        <v>3.1288706412986538</v>
      </c>
    </row>
    <row r="53" spans="2:6">
      <c r="B53">
        <f t="shared" si="3"/>
        <v>4</v>
      </c>
      <c r="C53">
        <v>2</v>
      </c>
      <c r="D53" s="2">
        <f t="shared" si="8"/>
        <v>4.166666666666667</v>
      </c>
      <c r="E53">
        <f t="shared" si="1"/>
        <v>0.10635444782480286</v>
      </c>
      <c r="F53" s="3">
        <f t="shared" si="2"/>
        <v>3.1296164899791394</v>
      </c>
    </row>
    <row r="54" spans="2:6">
      <c r="B54">
        <f t="shared" si="3"/>
        <v>4</v>
      </c>
      <c r="C54">
        <v>3</v>
      </c>
      <c r="D54" s="2">
        <f t="shared" si="8"/>
        <v>4.25</v>
      </c>
      <c r="E54">
        <f t="shared" si="1"/>
        <v>9.9733669546518466E-2</v>
      </c>
      <c r="F54" s="3">
        <f t="shared" si="2"/>
        <v>3.1302295744198738</v>
      </c>
    </row>
    <row r="55" spans="2:6">
      <c r="B55">
        <f t="shared" si="3"/>
        <v>4</v>
      </c>
      <c r="C55">
        <v>4</v>
      </c>
      <c r="D55" s="2">
        <f t="shared" si="8"/>
        <v>4.333333333333333</v>
      </c>
      <c r="E55">
        <f t="shared" si="1"/>
        <v>9.3866158587704029E-2</v>
      </c>
      <c r="F55" s="3">
        <f t="shared" si="2"/>
        <v>3.1307391302283358</v>
      </c>
    </row>
    <row r="56" spans="2:6">
      <c r="B56">
        <f t="shared" si="3"/>
        <v>4</v>
      </c>
      <c r="C56">
        <v>5</v>
      </c>
      <c r="D56" s="2">
        <f t="shared" si="8"/>
        <v>4.416666666666667</v>
      </c>
      <c r="E56">
        <f t="shared" si="1"/>
        <v>8.8633669620195754E-2</v>
      </c>
      <c r="F56" s="3">
        <f t="shared" si="2"/>
        <v>3.1311668882058203</v>
      </c>
    </row>
    <row r="57" spans="2:6">
      <c r="B57">
        <f t="shared" si="3"/>
        <v>4</v>
      </c>
      <c r="C57">
        <v>6</v>
      </c>
      <c r="D57" s="2">
        <f t="shared" si="8"/>
        <v>4.5</v>
      </c>
      <c r="E57">
        <f t="shared" si="1"/>
        <v>8.3940826247678957E-2</v>
      </c>
      <c r="F57" s="3">
        <f t="shared" si="2"/>
        <v>3.1315292393639123</v>
      </c>
    </row>
    <row r="58" spans="2:6">
      <c r="B58">
        <f t="shared" si="3"/>
        <v>4</v>
      </c>
      <c r="C58">
        <v>7</v>
      </c>
      <c r="D58" s="2">
        <f t="shared" si="8"/>
        <v>4.583333333333333</v>
      </c>
      <c r="E58">
        <f t="shared" si="1"/>
        <v>7.9709997824650991E-2</v>
      </c>
      <c r="F58" s="3">
        <f t="shared" si="2"/>
        <v>3.1318387151683416</v>
      </c>
    </row>
    <row r="59" spans="2:6">
      <c r="B59">
        <f t="shared" si="3"/>
        <v>4</v>
      </c>
      <c r="C59">
        <v>8</v>
      </c>
      <c r="D59" s="2">
        <f t="shared" si="8"/>
        <v>4.666666666666667</v>
      </c>
      <c r="E59">
        <f t="shared" si="1"/>
        <v>7.5877453902109371E-2</v>
      </c>
      <c r="F59" s="3">
        <f t="shared" si="2"/>
        <v>3.1321050162854154</v>
      </c>
    </row>
    <row r="60" spans="2:6">
      <c r="B60">
        <f t="shared" si="3"/>
        <v>4</v>
      </c>
      <c r="C60">
        <v>9</v>
      </c>
      <c r="D60" s="2">
        <f t="shared" si="8"/>
        <v>4.75</v>
      </c>
      <c r="E60">
        <f t="shared" si="1"/>
        <v>7.2390451838099779E-2</v>
      </c>
      <c r="F60" s="3">
        <f t="shared" si="2"/>
        <v>3.1323357386620301</v>
      </c>
    </row>
    <row r="61" spans="2:6">
      <c r="B61">
        <f t="shared" si="3"/>
        <v>4</v>
      </c>
      <c r="C61">
        <v>10</v>
      </c>
      <c r="D61" s="2">
        <f t="shared" si="8"/>
        <v>4.833333333333333</v>
      </c>
      <c r="E61">
        <f t="shared" si="1"/>
        <v>6.9205011057400179E-2</v>
      </c>
      <c r="F61" s="3">
        <f t="shared" si="2"/>
        <v>3.1325368934627318</v>
      </c>
    </row>
    <row r="62" spans="2:6">
      <c r="B62">
        <f t="shared" si="3"/>
        <v>4</v>
      </c>
      <c r="C62">
        <v>11</v>
      </c>
      <c r="D62" s="2">
        <f t="shared" si="8"/>
        <v>4.916666666666667</v>
      </c>
      <c r="E62">
        <f t="shared" si="1"/>
        <v>6.6284196749830049E-2</v>
      </c>
      <c r="F62" s="3">
        <f t="shared" si="2"/>
        <v>3.1327132844726004</v>
      </c>
    </row>
    <row r="63" spans="2:6">
      <c r="B63">
        <f t="shared" si="3"/>
        <v>5</v>
      </c>
      <c r="C63">
        <v>0</v>
      </c>
      <c r="D63" s="2">
        <f>$B$63+C63/12</f>
        <v>5</v>
      </c>
      <c r="E63">
        <f t="shared" si="1"/>
        <v>6.3596784795901529E-2</v>
      </c>
      <c r="F63" s="3">
        <f t="shared" si="2"/>
        <v>3.1328687855341295</v>
      </c>
    </row>
    <row r="64" spans="2:6">
      <c r="B64">
        <f t="shared" si="3"/>
        <v>5</v>
      </c>
      <c r="C64">
        <v>1</v>
      </c>
      <c r="D64" s="2">
        <f t="shared" ref="D64:D74" si="9">$B$63+C64/12</f>
        <v>5.083333333333333</v>
      </c>
      <c r="E64">
        <f t="shared" si="1"/>
        <v>6.1116214459737583E-2</v>
      </c>
      <c r="F64" s="3">
        <f t="shared" si="2"/>
        <v>3.1330065469270134</v>
      </c>
    </row>
    <row r="65" spans="2:6">
      <c r="B65">
        <f t="shared" si="3"/>
        <v>5</v>
      </c>
      <c r="C65">
        <v>2</v>
      </c>
      <c r="D65" s="2">
        <f t="shared" si="9"/>
        <v>5.166666666666667</v>
      </c>
      <c r="E65">
        <f t="shared" si="1"/>
        <v>5.8819760169427804E-2</v>
      </c>
      <c r="F65" s="3">
        <f t="shared" si="2"/>
        <v>3.1331291505991299</v>
      </c>
    </row>
    <row r="66" spans="2:6">
      <c r="B66">
        <f t="shared" si="3"/>
        <v>5</v>
      </c>
      <c r="C66">
        <v>3</v>
      </c>
      <c r="D66" s="2">
        <f t="shared" si="9"/>
        <v>5.25</v>
      </c>
      <c r="E66">
        <f t="shared" si="1"/>
        <v>5.6687871494892572E-2</v>
      </c>
      <c r="F66" s="3">
        <f t="shared" si="2"/>
        <v>3.1332387281407406</v>
      </c>
    </row>
    <row r="67" spans="2:6">
      <c r="B67">
        <f t="shared" si="3"/>
        <v>5</v>
      </c>
      <c r="C67">
        <v>4</v>
      </c>
      <c r="D67" s="2">
        <f t="shared" si="9"/>
        <v>5.333333333333333</v>
      </c>
      <c r="E67">
        <f t="shared" si="1"/>
        <v>5.470364330082339E-2</v>
      </c>
      <c r="F67" s="3">
        <f t="shared" si="2"/>
        <v>3.1333370513173784</v>
      </c>
    </row>
    <row r="68" spans="2:6">
      <c r="B68">
        <f t="shared" si="3"/>
        <v>5</v>
      </c>
      <c r="C68">
        <v>5</v>
      </c>
      <c r="D68" s="2">
        <f t="shared" si="9"/>
        <v>5.416666666666667</v>
      </c>
      <c r="E68">
        <f t="shared" ref="E68:E117" si="10">(-1/(PI())*ATAN($N$3*(D68-$I$8))+1/2)</f>
        <v>5.2852387432767045E-2</v>
      </c>
      <c r="F68" s="3">
        <f t="shared" ref="F68:F117" si="11">$O$3*E68*(D68-$I$8)+$I$8</f>
        <v>3.1334256021785847</v>
      </c>
    </row>
    <row r="69" spans="2:6">
      <c r="B69">
        <f t="shared" ref="B69:B99" si="12">IF(C69=0,B68+1,B68)</f>
        <v>5</v>
      </c>
      <c r="C69">
        <v>6</v>
      </c>
      <c r="D69" s="2">
        <f t="shared" si="9"/>
        <v>5.5</v>
      </c>
      <c r="E69">
        <f t="shared" si="10"/>
        <v>5.1121284187674254E-2</v>
      </c>
      <c r="F69" s="3">
        <f t="shared" si="11"/>
        <v>3.1335056278151483</v>
      </c>
    </row>
    <row r="70" spans="2:6">
      <c r="B70">
        <f t="shared" si="12"/>
        <v>5</v>
      </c>
      <c r="C70">
        <v>7</v>
      </c>
      <c r="D70" s="2">
        <f t="shared" si="9"/>
        <v>5.583333333333333</v>
      </c>
      <c r="E70">
        <f t="shared" si="10"/>
        <v>4.9499096926203245E-2</v>
      </c>
      <c r="F70" s="3">
        <f t="shared" si="11"/>
        <v>3.1335781834703846</v>
      </c>
    </row>
    <row r="71" spans="2:6">
      <c r="B71">
        <f t="shared" si="12"/>
        <v>5</v>
      </c>
      <c r="C71">
        <v>8</v>
      </c>
      <c r="D71" s="2">
        <f t="shared" si="9"/>
        <v>5.666666666666667</v>
      </c>
      <c r="E71">
        <f t="shared" si="10"/>
        <v>4.797593699589614E-2</v>
      </c>
      <c r="F71" s="3">
        <f t="shared" si="11"/>
        <v>3.1336441667392267</v>
      </c>
    </row>
    <row r="72" spans="2:6">
      <c r="B72">
        <f t="shared" si="12"/>
        <v>5</v>
      </c>
      <c r="C72">
        <v>9</v>
      </c>
      <c r="D72" s="2">
        <f t="shared" si="9"/>
        <v>5.75</v>
      </c>
      <c r="E72">
        <f t="shared" si="10"/>
        <v>4.6543069001883486E-2</v>
      </c>
      <c r="F72" s="3">
        <f t="shared" si="11"/>
        <v>3.1337043448908948</v>
      </c>
    </row>
    <row r="73" spans="2:6">
      <c r="B73">
        <f t="shared" si="12"/>
        <v>5</v>
      </c>
      <c r="C73">
        <v>10</v>
      </c>
      <c r="D73" s="2">
        <f t="shared" si="9"/>
        <v>5.833333333333333</v>
      </c>
      <c r="E73">
        <f t="shared" si="10"/>
        <v>4.5192748635011104E-2</v>
      </c>
      <c r="F73" s="3">
        <f t="shared" si="11"/>
        <v>3.1337593768445657</v>
      </c>
    </row>
    <row r="74" spans="2:6">
      <c r="B74">
        <f t="shared" si="12"/>
        <v>5</v>
      </c>
      <c r="C74">
        <v>11</v>
      </c>
      <c r="D74" s="2">
        <f t="shared" si="9"/>
        <v>5.916666666666667</v>
      </c>
      <c r="E74">
        <f t="shared" si="10"/>
        <v>4.3918086926184985E-2</v>
      </c>
      <c r="F74" s="3">
        <f t="shared" si="11"/>
        <v>3.1338098309566722</v>
      </c>
    </row>
    <row r="75" spans="2:6">
      <c r="B75">
        <f t="shared" si="12"/>
        <v>6</v>
      </c>
      <c r="C75">
        <v>0</v>
      </c>
      <c r="D75" s="2">
        <f>$B75+C75/12</f>
        <v>6</v>
      </c>
      <c r="E75">
        <f t="shared" si="10"/>
        <v>4.2712936070816998E-2</v>
      </c>
      <c r="F75" s="3">
        <f t="shared" si="11"/>
        <v>3.1338561995045722</v>
      </c>
    </row>
    <row r="76" spans="2:6">
      <c r="B76">
        <f t="shared" si="12"/>
        <v>7</v>
      </c>
      <c r="D76" s="2">
        <f t="shared" ref="D76:D98" si="13">$B76+C76/12</f>
        <v>7</v>
      </c>
      <c r="E76">
        <f t="shared" si="10"/>
        <v>3.2118915447957697E-2</v>
      </c>
      <c r="F76" s="3">
        <f t="shared" si="11"/>
        <v>3.1342080830639274</v>
      </c>
    </row>
    <row r="77" spans="2:6">
      <c r="B77">
        <f t="shared" si="12"/>
        <v>8</v>
      </c>
      <c r="D77" s="2">
        <f t="shared" si="13"/>
        <v>8</v>
      </c>
      <c r="E77">
        <f t="shared" si="10"/>
        <v>2.5726531882360792E-2</v>
      </c>
      <c r="F77" s="3">
        <f t="shared" si="11"/>
        <v>3.1343720857188142</v>
      </c>
    </row>
    <row r="78" spans="2:6">
      <c r="B78">
        <f t="shared" si="12"/>
        <v>9</v>
      </c>
      <c r="D78" s="2">
        <f t="shared" si="13"/>
        <v>9</v>
      </c>
      <c r="E78">
        <f t="shared" si="10"/>
        <v>2.1453038664568824E-2</v>
      </c>
      <c r="F78" s="3">
        <f t="shared" si="11"/>
        <v>3.1344614764343408</v>
      </c>
    </row>
    <row r="79" spans="2:6">
      <c r="B79">
        <f t="shared" si="12"/>
        <v>10</v>
      </c>
      <c r="D79" s="2">
        <f t="shared" si="13"/>
        <v>10</v>
      </c>
      <c r="E79">
        <f t="shared" si="10"/>
        <v>1.8395704096063115E-2</v>
      </c>
      <c r="F79" s="3">
        <f t="shared" si="11"/>
        <v>3.1345154797599646</v>
      </c>
    </row>
    <row r="80" spans="2:6">
      <c r="B80">
        <f t="shared" si="12"/>
        <v>11</v>
      </c>
      <c r="D80" s="2">
        <f t="shared" si="13"/>
        <v>11</v>
      </c>
      <c r="E80">
        <f t="shared" si="10"/>
        <v>1.6100440228598523E-2</v>
      </c>
      <c r="F80" s="3">
        <f t="shared" si="11"/>
        <v>3.1345505718003901</v>
      </c>
    </row>
    <row r="81" spans="2:6">
      <c r="B81">
        <f t="shared" si="12"/>
        <v>12</v>
      </c>
      <c r="D81" s="2">
        <f t="shared" si="13"/>
        <v>12</v>
      </c>
      <c r="E81">
        <f t="shared" si="10"/>
        <v>1.4314063491288775E-2</v>
      </c>
      <c r="F81" s="3">
        <f t="shared" si="11"/>
        <v>3.1345746498368321</v>
      </c>
    </row>
    <row r="82" spans="2:6">
      <c r="B82">
        <f t="shared" si="12"/>
        <v>13</v>
      </c>
      <c r="D82" s="2">
        <f t="shared" si="13"/>
        <v>13</v>
      </c>
      <c r="E82">
        <f t="shared" si="10"/>
        <v>1.2884306777109167E-2</v>
      </c>
      <c r="F82" s="3">
        <f t="shared" si="11"/>
        <v>3.1345918822325411</v>
      </c>
    </row>
    <row r="83" spans="2:6">
      <c r="B83">
        <f t="shared" si="12"/>
        <v>14</v>
      </c>
      <c r="D83" s="2">
        <f t="shared" si="13"/>
        <v>14</v>
      </c>
      <c r="E83">
        <f t="shared" si="10"/>
        <v>1.1714116190863988E-2</v>
      </c>
      <c r="F83" s="3">
        <f t="shared" si="11"/>
        <v>3.1346046373703387</v>
      </c>
    </row>
    <row r="84" spans="2:6">
      <c r="B84">
        <f t="shared" si="12"/>
        <v>15</v>
      </c>
      <c r="D84" s="2">
        <f t="shared" si="13"/>
        <v>15</v>
      </c>
      <c r="E84">
        <f t="shared" si="10"/>
        <v>1.0738713987085702E-2</v>
      </c>
      <c r="F84" s="3">
        <f t="shared" si="11"/>
        <v>3.13461434161254</v>
      </c>
    </row>
    <row r="85" spans="2:6">
      <c r="B85">
        <f t="shared" si="12"/>
        <v>16</v>
      </c>
      <c r="D85" s="2">
        <f t="shared" si="13"/>
        <v>16</v>
      </c>
      <c r="E85">
        <f t="shared" si="10"/>
        <v>9.9132153169145254E-3</v>
      </c>
      <c r="F85" s="3">
        <f t="shared" si="11"/>
        <v>3.1346218955377236</v>
      </c>
    </row>
    <row r="86" spans="2:6">
      <c r="B86">
        <f t="shared" si="12"/>
        <v>17</v>
      </c>
      <c r="D86" s="2">
        <f t="shared" si="13"/>
        <v>17</v>
      </c>
      <c r="E86">
        <f t="shared" si="10"/>
        <v>9.2055384253285077E-3</v>
      </c>
      <c r="F86" s="3">
        <f t="shared" si="11"/>
        <v>3.1346278904319687</v>
      </c>
    </row>
    <row r="87" spans="2:6">
      <c r="B87">
        <f t="shared" si="12"/>
        <v>18</v>
      </c>
      <c r="D87" s="2">
        <f t="shared" si="13"/>
        <v>18</v>
      </c>
      <c r="E87">
        <f t="shared" si="10"/>
        <v>8.5921445616079506E-3</v>
      </c>
      <c r="F87" s="3">
        <f t="shared" si="11"/>
        <v>3.134632727507173</v>
      </c>
    </row>
    <row r="88" spans="2:6">
      <c r="B88">
        <f t="shared" si="12"/>
        <v>19</v>
      </c>
      <c r="D88" s="2">
        <f t="shared" si="13"/>
        <v>19</v>
      </c>
      <c r="E88">
        <f t="shared" si="10"/>
        <v>8.0553724106129376E-3</v>
      </c>
      <c r="F88" s="3">
        <f t="shared" si="11"/>
        <v>3.1346366867643596</v>
      </c>
    </row>
    <row r="89" spans="2:6">
      <c r="B89">
        <f t="shared" si="12"/>
        <v>20</v>
      </c>
      <c r="D89" s="2">
        <f t="shared" si="13"/>
        <v>20</v>
      </c>
      <c r="E89">
        <f t="shared" si="10"/>
        <v>7.5817117678768642E-3</v>
      </c>
      <c r="F89" s="3">
        <f t="shared" si="11"/>
        <v>3.1346399684175004</v>
      </c>
    </row>
    <row r="90" spans="2:6">
      <c r="B90">
        <f t="shared" si="12"/>
        <v>21</v>
      </c>
      <c r="D90" s="2">
        <f t="shared" si="13"/>
        <v>21</v>
      </c>
      <c r="E90">
        <f t="shared" si="10"/>
        <v>7.160651825579567E-3</v>
      </c>
      <c r="F90" s="3">
        <f t="shared" si="11"/>
        <v>3.1346427186965178</v>
      </c>
    </row>
    <row r="91" spans="2:6">
      <c r="B91">
        <f t="shared" si="12"/>
        <v>22</v>
      </c>
      <c r="D91" s="2">
        <f t="shared" si="13"/>
        <v>22</v>
      </c>
      <c r="E91">
        <f t="shared" si="10"/>
        <v>6.7838926924079779E-3</v>
      </c>
      <c r="F91" s="3">
        <f t="shared" si="11"/>
        <v>3.1346450464155513</v>
      </c>
    </row>
    <row r="92" spans="2:6">
      <c r="B92">
        <f t="shared" si="12"/>
        <v>23</v>
      </c>
      <c r="D92" s="2">
        <f t="shared" si="13"/>
        <v>23</v>
      </c>
      <c r="E92">
        <f t="shared" si="10"/>
        <v>6.4447931873954922E-3</v>
      </c>
      <c r="F92" s="3">
        <f t="shared" si="11"/>
        <v>3.1346470338989612</v>
      </c>
    </row>
    <row r="93" spans="2:6">
      <c r="B93">
        <f t="shared" si="12"/>
        <v>24</v>
      </c>
      <c r="D93" s="2">
        <f t="shared" si="13"/>
        <v>24</v>
      </c>
      <c r="E93">
        <f t="shared" si="10"/>
        <v>6.137976245182919E-3</v>
      </c>
      <c r="F93" s="3">
        <f t="shared" si="11"/>
        <v>3.1346487443586479</v>
      </c>
    </row>
    <row r="94" spans="2:6">
      <c r="B94">
        <f t="shared" si="12"/>
        <v>25</v>
      </c>
      <c r="D94" s="2">
        <f t="shared" si="13"/>
        <v>25</v>
      </c>
      <c r="E94">
        <f t="shared" si="10"/>
        <v>5.8590418383752674E-3</v>
      </c>
      <c r="F94" s="3">
        <f t="shared" si="11"/>
        <v>3.134650226981226</v>
      </c>
    </row>
    <row r="95" spans="2:6">
      <c r="B95">
        <f t="shared" si="12"/>
        <v>26</v>
      </c>
      <c r="D95" s="2">
        <f t="shared" si="13"/>
        <v>26</v>
      </c>
      <c r="E95">
        <f t="shared" si="10"/>
        <v>5.6043547267738414E-3</v>
      </c>
      <c r="F95" s="3">
        <f t="shared" si="11"/>
        <v>3.1346515205028762</v>
      </c>
    </row>
    <row r="96" spans="2:6">
      <c r="B96">
        <f t="shared" si="12"/>
        <v>27</v>
      </c>
      <c r="D96" s="2">
        <f t="shared" si="13"/>
        <v>27</v>
      </c>
      <c r="E96">
        <f t="shared" si="10"/>
        <v>5.3708852286347142E-3</v>
      </c>
      <c r="F96" s="3">
        <f t="shared" si="11"/>
        <v>3.1346526557646754</v>
      </c>
    </row>
    <row r="97" spans="2:6">
      <c r="B97">
        <f t="shared" si="12"/>
        <v>28</v>
      </c>
      <c r="D97" s="2">
        <f t="shared" si="13"/>
        <v>28</v>
      </c>
      <c r="E97">
        <f t="shared" si="10"/>
        <v>5.1560881800095659E-3</v>
      </c>
      <c r="F97" s="3">
        <f t="shared" si="11"/>
        <v>3.1346536575676267</v>
      </c>
    </row>
    <row r="98" spans="2:6">
      <c r="B98">
        <f t="shared" si="12"/>
        <v>29</v>
      </c>
      <c r="D98" s="2">
        <f t="shared" si="13"/>
        <v>29</v>
      </c>
      <c r="E98">
        <f t="shared" si="10"/>
        <v>4.9578098085328315E-3</v>
      </c>
      <c r="F98" s="3">
        <f t="shared" si="11"/>
        <v>3.1346545460384383</v>
      </c>
    </row>
    <row r="99" spans="2:6">
      <c r="B99">
        <f t="shared" si="12"/>
        <v>30</v>
      </c>
      <c r="D99" s="2">
        <f>$B99+C99/12</f>
        <v>30</v>
      </c>
      <c r="E99">
        <f t="shared" si="10"/>
        <v>4.7742152896136925E-3</v>
      </c>
      <c r="F99" s="3">
        <f t="shared" si="11"/>
        <v>3.1346553376481285</v>
      </c>
    </row>
    <row r="100" spans="2:6">
      <c r="B100">
        <v>35</v>
      </c>
      <c r="D100" s="2">
        <f>$B100+C100/12</f>
        <v>35</v>
      </c>
      <c r="E100">
        <f t="shared" si="10"/>
        <v>4.0283311703313562E-3</v>
      </c>
      <c r="F100" s="3">
        <f t="shared" si="11"/>
        <v>3.1346582465258712</v>
      </c>
    </row>
    <row r="101" spans="2:6">
      <c r="B101">
        <v>40</v>
      </c>
      <c r="D101" s="2">
        <f>$B101+C101/12</f>
        <v>40</v>
      </c>
      <c r="E101">
        <f t="shared" si="10"/>
        <v>3.4840089653688788E-3</v>
      </c>
      <c r="F101" s="3">
        <f t="shared" si="11"/>
        <v>3.1346600581747595</v>
      </c>
    </row>
    <row r="102" spans="2:6">
      <c r="B102">
        <v>45</v>
      </c>
      <c r="D102" s="2">
        <f t="shared" ref="D102:D119" si="14">$B102+C102/12</f>
        <v>45</v>
      </c>
      <c r="E102">
        <f t="shared" si="10"/>
        <v>3.069273438337794E-3</v>
      </c>
      <c r="F102" s="3">
        <f t="shared" si="11"/>
        <v>3.1346612622979344</v>
      </c>
    </row>
    <row r="103" spans="2:6">
      <c r="B103">
        <v>50</v>
      </c>
      <c r="D103" s="2">
        <f t="shared" si="14"/>
        <v>50</v>
      </c>
      <c r="E103">
        <f t="shared" si="10"/>
        <v>2.7427721111569769E-3</v>
      </c>
      <c r="F103" s="3">
        <f t="shared" si="11"/>
        <v>3.1346621030219146</v>
      </c>
    </row>
    <row r="104" spans="2:6">
      <c r="B104">
        <v>55</v>
      </c>
      <c r="D104" s="2">
        <f t="shared" si="14"/>
        <v>55</v>
      </c>
      <c r="E104">
        <f t="shared" si="10"/>
        <v>2.4790552550462697E-3</v>
      </c>
      <c r="F104" s="3">
        <f t="shared" si="11"/>
        <v>3.1346627131189799</v>
      </c>
    </row>
    <row r="105" spans="2:6">
      <c r="B105">
        <v>60</v>
      </c>
      <c r="D105" s="2">
        <f t="shared" si="14"/>
        <v>60</v>
      </c>
      <c r="E105">
        <f t="shared" si="10"/>
        <v>2.2616019380160002E-3</v>
      </c>
      <c r="F105" s="3">
        <f t="shared" si="11"/>
        <v>3.134663169830997</v>
      </c>
    </row>
    <row r="106" spans="2:6">
      <c r="B106">
        <v>65</v>
      </c>
      <c r="D106" s="2">
        <f t="shared" si="14"/>
        <v>65</v>
      </c>
      <c r="E106">
        <f t="shared" si="10"/>
        <v>2.0792201004855571E-3</v>
      </c>
      <c r="F106" s="3">
        <f t="shared" si="11"/>
        <v>3.1346635205755176</v>
      </c>
    </row>
    <row r="107" spans="2:6">
      <c r="B107">
        <v>70</v>
      </c>
      <c r="D107" s="2">
        <f t="shared" si="14"/>
        <v>70</v>
      </c>
      <c r="E107">
        <f t="shared" si="10"/>
        <v>1.9240583532657562E-3</v>
      </c>
      <c r="F107" s="3">
        <f t="shared" si="11"/>
        <v>3.1346637957685202</v>
      </c>
    </row>
    <row r="108" spans="2:6">
      <c r="B108">
        <v>75</v>
      </c>
      <c r="D108" s="2">
        <f t="shared" si="14"/>
        <v>75</v>
      </c>
      <c r="E108">
        <f t="shared" si="10"/>
        <v>1.7904461132794425E-3</v>
      </c>
      <c r="F108" s="3">
        <f t="shared" si="11"/>
        <v>3.1346640156475116</v>
      </c>
    </row>
    <row r="109" spans="2:6">
      <c r="B109">
        <v>80</v>
      </c>
      <c r="D109" s="2">
        <f t="shared" si="14"/>
        <v>80</v>
      </c>
      <c r="E109">
        <f t="shared" si="10"/>
        <v>1.6741855972413067E-3</v>
      </c>
      <c r="F109" s="3">
        <f t="shared" si="11"/>
        <v>3.1346641941012559</v>
      </c>
    </row>
    <row r="110" spans="2:6">
      <c r="B110">
        <v>85</v>
      </c>
      <c r="D110" s="2">
        <f t="shared" si="14"/>
        <v>85</v>
      </c>
      <c r="E110">
        <f t="shared" si="10"/>
        <v>1.5721028235778922E-3</v>
      </c>
      <c r="F110" s="3">
        <f t="shared" si="11"/>
        <v>3.1346643409180381</v>
      </c>
    </row>
    <row r="111" spans="2:6">
      <c r="B111">
        <v>90</v>
      </c>
      <c r="D111" s="2">
        <f t="shared" si="14"/>
        <v>90</v>
      </c>
      <c r="E111">
        <f t="shared" si="10"/>
        <v>1.4817534316230452E-3</v>
      </c>
      <c r="F111" s="3">
        <f t="shared" si="11"/>
        <v>3.1346644631570424</v>
      </c>
    </row>
    <row r="112" spans="2:6">
      <c r="B112">
        <v>95</v>
      </c>
      <c r="D112" s="2">
        <f t="shared" si="14"/>
        <v>95</v>
      </c>
      <c r="E112">
        <f t="shared" si="10"/>
        <v>1.4012244240639293E-3</v>
      </c>
      <c r="F112" s="3">
        <f t="shared" si="11"/>
        <v>3.134664566012999</v>
      </c>
    </row>
    <row r="113" spans="2:6">
      <c r="B113">
        <v>100</v>
      </c>
      <c r="D113" s="2">
        <f t="shared" si="14"/>
        <v>100</v>
      </c>
      <c r="E113">
        <f t="shared" si="10"/>
        <v>1.3289972231615432E-3</v>
      </c>
      <c r="F113" s="3">
        <f t="shared" si="11"/>
        <v>3.1346646533773761</v>
      </c>
    </row>
    <row r="114" spans="2:6">
      <c r="B114">
        <v>105</v>
      </c>
      <c r="D114" s="2">
        <f t="shared" si="14"/>
        <v>105</v>
      </c>
      <c r="E114">
        <f t="shared" si="10"/>
        <v>1.2638510027919714E-3</v>
      </c>
      <c r="F114" s="3">
        <f t="shared" si="11"/>
        <v>3.1346647282118894</v>
      </c>
    </row>
    <row r="115" spans="2:6">
      <c r="B115">
        <v>110</v>
      </c>
      <c r="D115" s="2">
        <f t="shared" si="14"/>
        <v>110</v>
      </c>
      <c r="E115">
        <f t="shared" si="10"/>
        <v>1.2047931225877551E-3</v>
      </c>
      <c r="F115" s="3">
        <f t="shared" si="11"/>
        <v>3.1346647928028686</v>
      </c>
    </row>
    <row r="116" spans="2:6">
      <c r="B116">
        <v>115</v>
      </c>
      <c r="D116" s="2">
        <f t="shared" si="14"/>
        <v>115</v>
      </c>
      <c r="E116">
        <f t="shared" si="10"/>
        <v>1.1510081951277562E-3</v>
      </c>
      <c r="F116" s="3">
        <f t="shared" si="11"/>
        <v>3.1346648489379829</v>
      </c>
    </row>
    <row r="117" spans="2:6">
      <c r="B117">
        <v>120</v>
      </c>
      <c r="D117" s="2">
        <f t="shared" si="14"/>
        <v>120</v>
      </c>
      <c r="E117">
        <f t="shared" si="10"/>
        <v>1.1018202123993515E-3</v>
      </c>
      <c r="F117" s="3">
        <f t="shared" si="11"/>
        <v>3.134664898031319</v>
      </c>
    </row>
    <row r="118" spans="2:6">
      <c r="D118" s="2"/>
      <c r="F118" s="3"/>
    </row>
    <row r="119" spans="2:6">
      <c r="B119">
        <v>10000000000</v>
      </c>
      <c r="D119" s="2">
        <f t="shared" si="14"/>
        <v>10000000000</v>
      </c>
      <c r="E119">
        <f>(-1/(PI())*ATAN($N$3*(D119-$I$8))+1/2)</f>
        <v>1.2891354650435005E-11</v>
      </c>
      <c r="F119" s="3">
        <f>$O$3*E119*(D119-$I$8)+$I$8</f>
        <v>3.134665505597193</v>
      </c>
    </row>
  </sheetData>
  <sheetProtection algorithmName="SHA-512" hashValue="O091eZNK/liil0iV04K2eeJkNW9zs4M75n51urXKubsHJeXqD5DARDxhIuK6ftZjpEUG4lFGd3EFcaFanWUtmA==" saltValue="vCfUEkRn+lvZDHnJcP1kyg==" spinCount="100000" sheet="1" objects="1" scenarios="1"/>
  <phoneticPr fontId="1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D2643-7619-4A9B-9392-0C51AA788C7F}">
  <dimension ref="A1:P119"/>
  <sheetViews>
    <sheetView topLeftCell="D1" zoomScaleNormal="100" workbookViewId="0">
      <selection activeCell="J3" sqref="J3"/>
    </sheetView>
  </sheetViews>
  <sheetFormatPr defaultRowHeight="17.649999999999999"/>
  <cols>
    <col min="2" max="2" width="10.3125" customWidth="1"/>
    <col min="10" max="10" width="13.1875" customWidth="1"/>
  </cols>
  <sheetData>
    <row r="1" spans="1:16">
      <c r="A1" t="s">
        <v>0</v>
      </c>
    </row>
    <row r="2" spans="1:16">
      <c r="B2" t="s">
        <v>1</v>
      </c>
      <c r="C2" t="s">
        <v>2</v>
      </c>
      <c r="D2" t="s">
        <v>3</v>
      </c>
      <c r="E2" t="s">
        <v>4</v>
      </c>
      <c r="F2" t="s">
        <v>5</v>
      </c>
      <c r="H2" t="s">
        <v>6</v>
      </c>
      <c r="J2" t="s">
        <v>7</v>
      </c>
      <c r="N2" s="1" t="s">
        <v>8</v>
      </c>
      <c r="O2" t="s">
        <v>9</v>
      </c>
    </row>
    <row r="3" spans="1:16">
      <c r="B3">
        <v>0</v>
      </c>
      <c r="C3">
        <v>0</v>
      </c>
      <c r="D3" s="2">
        <f>$B$3+C3/12</f>
        <v>0</v>
      </c>
      <c r="E3">
        <f>(-1/(PI())*ATAN($N$3*(D3-$I$8))+1/2)</f>
        <v>0.9949873490794322</v>
      </c>
      <c r="F3" s="3">
        <f>$O$3*E3*(D3-$I$8)+$I$8</f>
        <v>0</v>
      </c>
      <c r="I3" t="s">
        <v>10</v>
      </c>
      <c r="J3" t="s">
        <v>11</v>
      </c>
      <c r="M3" s="4"/>
      <c r="N3" s="5">
        <v>3.5275587730799498</v>
      </c>
      <c r="O3">
        <f>(0.5+(1/(PI())*ATAN($I$8*N3)))^-1</f>
        <v>1.0050379041755713</v>
      </c>
    </row>
    <row r="4" spans="1:16">
      <c r="B4">
        <f>IF(C4=0,B3+1,B3)</f>
        <v>0</v>
      </c>
      <c r="C4">
        <v>1</v>
      </c>
      <c r="D4" s="2">
        <f t="shared" ref="D4:D14" si="0">$B$3+C4/12</f>
        <v>8.3333333333333329E-2</v>
      </c>
      <c r="E4">
        <f t="shared" ref="E4:E67" si="1">(-1/(PI())*ATAN($N$3*(D4-$I$8))+1/2)</f>
        <v>0.99496403830526225</v>
      </c>
      <c r="F4" s="3">
        <f t="shared" ref="F4:F67" si="2">$O$3*E4*(D4-$I$8)+$I$8</f>
        <v>8.3753088791457486E-2</v>
      </c>
      <c r="J4" t="s">
        <v>12</v>
      </c>
      <c r="N4" t="s">
        <v>16</v>
      </c>
    </row>
    <row r="5" spans="1:16">
      <c r="B5">
        <f t="shared" ref="B5:B68" si="3">IF(C5=0,B4+1,B4)</f>
        <v>0</v>
      </c>
      <c r="C5">
        <v>2</v>
      </c>
      <c r="D5" s="2">
        <f t="shared" si="0"/>
        <v>0.16666666666666666</v>
      </c>
      <c r="E5">
        <f t="shared" si="1"/>
        <v>0.99494050972817116</v>
      </c>
      <c r="F5" s="3">
        <f t="shared" si="2"/>
        <v>0.16750617660106926</v>
      </c>
      <c r="J5" t="s">
        <v>14</v>
      </c>
    </row>
    <row r="6" spans="1:16">
      <c r="B6">
        <f t="shared" si="3"/>
        <v>0</v>
      </c>
      <c r="C6">
        <v>3</v>
      </c>
      <c r="D6" s="2">
        <f t="shared" si="0"/>
        <v>0.25</v>
      </c>
      <c r="E6">
        <f t="shared" si="1"/>
        <v>0.99491676028154763</v>
      </c>
      <c r="F6" s="3">
        <f t="shared" si="2"/>
        <v>0.25125926341034344</v>
      </c>
    </row>
    <row r="7" spans="1:16">
      <c r="B7">
        <f t="shared" si="3"/>
        <v>0</v>
      </c>
      <c r="C7">
        <v>4</v>
      </c>
      <c r="D7" s="2">
        <f t="shared" si="0"/>
        <v>0.33333333333333331</v>
      </c>
      <c r="E7">
        <f t="shared" si="1"/>
        <v>0.99489278684094484</v>
      </c>
      <c r="F7" s="3">
        <f t="shared" si="2"/>
        <v>0.33501234920037248</v>
      </c>
      <c r="I7" t="s">
        <v>15</v>
      </c>
      <c r="J7" t="s">
        <v>8</v>
      </c>
      <c r="K7" t="s">
        <v>9</v>
      </c>
    </row>
    <row r="8" spans="1:16">
      <c r="B8">
        <f t="shared" si="3"/>
        <v>0</v>
      </c>
      <c r="C8">
        <v>5</v>
      </c>
      <c r="D8" s="2">
        <f t="shared" si="0"/>
        <v>0.41666666666666669</v>
      </c>
      <c r="E8">
        <f t="shared" si="1"/>
        <v>0.99486858622270979</v>
      </c>
      <c r="F8" s="3">
        <f t="shared" si="2"/>
        <v>0.41876543395180121</v>
      </c>
      <c r="I8">
        <v>18</v>
      </c>
      <c r="J8">
        <v>0</v>
      </c>
      <c r="K8" s="6">
        <f>(0.5+(1/(PI())*ATAN($I$8*J8)))^-1</f>
        <v>2</v>
      </c>
      <c r="P8" s="7"/>
    </row>
    <row r="9" spans="1:16">
      <c r="B9">
        <f t="shared" si="3"/>
        <v>0</v>
      </c>
      <c r="C9">
        <v>6</v>
      </c>
      <c r="D9" s="2">
        <f t="shared" si="0"/>
        <v>0.5</v>
      </c>
      <c r="E9">
        <f t="shared" si="1"/>
        <v>0.99484415518257496</v>
      </c>
      <c r="F9" s="3">
        <f t="shared" si="2"/>
        <v>0.50251851764479127</v>
      </c>
      <c r="J9" s="6">
        <v>0.1</v>
      </c>
      <c r="K9" s="6">
        <f>(0.5+(1/(PI())*ATAN(3*J9)))^-1</f>
        <v>1.6869847700631908</v>
      </c>
      <c r="P9" s="7"/>
    </row>
    <row r="10" spans="1:16">
      <c r="B10">
        <f t="shared" si="3"/>
        <v>0</v>
      </c>
      <c r="C10">
        <v>7</v>
      </c>
      <c r="D10" s="2">
        <f t="shared" si="0"/>
        <v>0.58333333333333337</v>
      </c>
      <c r="E10">
        <f t="shared" si="1"/>
        <v>0.9948194904142087</v>
      </c>
      <c r="F10" s="3">
        <f t="shared" si="2"/>
        <v>0.58627160025904956</v>
      </c>
      <c r="J10">
        <v>0.2</v>
      </c>
      <c r="K10">
        <f t="shared" ref="K10:K45" si="4">(0.5+(1/(PI())*ATAN(3*J10)))^-1</f>
        <v>1.4880490252654563</v>
      </c>
    </row>
    <row r="11" spans="1:16">
      <c r="B11">
        <f t="shared" si="3"/>
        <v>0</v>
      </c>
      <c r="C11">
        <v>8</v>
      </c>
      <c r="D11" s="2">
        <f t="shared" si="0"/>
        <v>0.66666666666666663</v>
      </c>
      <c r="E11">
        <f t="shared" si="1"/>
        <v>0.99479458854772407</v>
      </c>
      <c r="F11" s="3">
        <f t="shared" si="2"/>
        <v>0.67002468177379271</v>
      </c>
      <c r="J11">
        <v>0.3</v>
      </c>
      <c r="K11">
        <f t="shared" si="4"/>
        <v>1.363768478750963</v>
      </c>
    </row>
    <row r="12" spans="1:16">
      <c r="B12">
        <f t="shared" si="3"/>
        <v>0</v>
      </c>
      <c r="C12">
        <v>9</v>
      </c>
      <c r="D12" s="2">
        <f t="shared" si="0"/>
        <v>0.75</v>
      </c>
      <c r="E12">
        <f t="shared" si="1"/>
        <v>0.99476944614814455</v>
      </c>
      <c r="F12" s="3">
        <f t="shared" si="2"/>
        <v>0.75377776216771863</v>
      </c>
      <c r="J12">
        <v>0.4</v>
      </c>
      <c r="K12">
        <f t="shared" si="4"/>
        <v>1.2839311904359776</v>
      </c>
    </row>
    <row r="13" spans="1:16">
      <c r="B13">
        <f t="shared" si="3"/>
        <v>0</v>
      </c>
      <c r="C13">
        <v>10</v>
      </c>
      <c r="D13" s="2">
        <f t="shared" si="0"/>
        <v>0.83333333333333337</v>
      </c>
      <c r="E13">
        <f t="shared" si="1"/>
        <v>0.99474405971382529</v>
      </c>
      <c r="F13" s="3">
        <f t="shared" si="2"/>
        <v>0.83753084141902079</v>
      </c>
      <c r="J13">
        <v>0.5</v>
      </c>
      <c r="K13">
        <f t="shared" si="4"/>
        <v>1.2302650746692267</v>
      </c>
    </row>
    <row r="14" spans="1:16">
      <c r="B14">
        <f t="shared" si="3"/>
        <v>0</v>
      </c>
      <c r="C14">
        <v>11</v>
      </c>
      <c r="D14" s="2">
        <f t="shared" si="0"/>
        <v>0.91666666666666663</v>
      </c>
      <c r="E14">
        <f t="shared" si="1"/>
        <v>0.99471842567482738</v>
      </c>
      <c r="F14" s="3">
        <f t="shared" si="2"/>
        <v>0.92128391950535971</v>
      </c>
      <c r="J14">
        <v>0.6</v>
      </c>
      <c r="K14">
        <f t="shared" si="4"/>
        <v>1.1924842021557778</v>
      </c>
    </row>
    <row r="15" spans="1:16">
      <c r="B15">
        <f t="shared" si="3"/>
        <v>1</v>
      </c>
      <c r="C15">
        <v>0</v>
      </c>
      <c r="D15" s="2">
        <f>$B$15+C15/12</f>
        <v>1</v>
      </c>
      <c r="E15">
        <f t="shared" si="1"/>
        <v>0.99469254039124566</v>
      </c>
      <c r="F15" s="3">
        <f t="shared" si="2"/>
        <v>1.005036996403831</v>
      </c>
      <c r="G15" s="3">
        <f>F15-B15</f>
        <v>5.03699640383104E-3</v>
      </c>
      <c r="H15" t="str">
        <f>IF((12*ABS(G15))&lt;1,"○","×")</f>
        <v>○</v>
      </c>
      <c r="J15">
        <v>0.7</v>
      </c>
      <c r="K15">
        <f t="shared" si="4"/>
        <v>1.1647722028930052</v>
      </c>
    </row>
    <row r="16" spans="1:16">
      <c r="B16">
        <f t="shared" si="3"/>
        <v>1</v>
      </c>
      <c r="C16">
        <v>1</v>
      </c>
      <c r="D16" s="2">
        <f t="shared" ref="D16:D26" si="5">$B$15+C16/12</f>
        <v>1.0833333333333333</v>
      </c>
      <c r="E16">
        <f t="shared" si="1"/>
        <v>0.99466640015148522</v>
      </c>
      <c r="F16" s="3">
        <f t="shared" si="2"/>
        <v>1.0887900720909904</v>
      </c>
      <c r="J16">
        <v>0.8</v>
      </c>
      <c r="K16">
        <f t="shared" si="4"/>
        <v>1.1437275736265722</v>
      </c>
    </row>
    <row r="17" spans="2:11">
      <c r="B17">
        <f t="shared" si="3"/>
        <v>1</v>
      </c>
      <c r="C17">
        <v>2</v>
      </c>
      <c r="D17" s="2">
        <f t="shared" si="5"/>
        <v>1.1666666666666667</v>
      </c>
      <c r="E17">
        <f t="shared" si="1"/>
        <v>0.99464000117048934</v>
      </c>
      <c r="F17" s="3">
        <f t="shared" si="2"/>
        <v>1.1725431465428002</v>
      </c>
      <c r="J17">
        <v>0.9</v>
      </c>
      <c r="K17">
        <f t="shared" si="4"/>
        <v>1.1272766537753374</v>
      </c>
    </row>
    <row r="18" spans="2:11">
      <c r="B18">
        <f t="shared" si="3"/>
        <v>1</v>
      </c>
      <c r="C18">
        <v>3</v>
      </c>
      <c r="D18" s="2">
        <f t="shared" si="5"/>
        <v>1.25</v>
      </c>
      <c r="E18">
        <f t="shared" si="1"/>
        <v>0.9946133395879122</v>
      </c>
      <c r="F18" s="3">
        <f t="shared" si="2"/>
        <v>1.2562962197346081</v>
      </c>
      <c r="J18">
        <v>1</v>
      </c>
      <c r="K18">
        <f t="shared" si="4"/>
        <v>1.114102330229308</v>
      </c>
    </row>
    <row r="19" spans="2:11">
      <c r="B19">
        <f t="shared" si="3"/>
        <v>1</v>
      </c>
      <c r="C19">
        <v>4</v>
      </c>
      <c r="D19" s="2">
        <f t="shared" si="5"/>
        <v>1.3333333333333333</v>
      </c>
      <c r="E19">
        <f t="shared" si="1"/>
        <v>0.9945864114662375</v>
      </c>
      <c r="F19" s="3">
        <f t="shared" si="2"/>
        <v>1.3400492916411721</v>
      </c>
      <c r="J19">
        <v>1.1000000000000001</v>
      </c>
      <c r="K19">
        <f t="shared" si="4"/>
        <v>1.1033359893515897</v>
      </c>
    </row>
    <row r="20" spans="2:11">
      <c r="B20">
        <f t="shared" si="3"/>
        <v>1</v>
      </c>
      <c r="C20">
        <v>5</v>
      </c>
      <c r="D20" s="2">
        <f t="shared" si="5"/>
        <v>1.4166666666666667</v>
      </c>
      <c r="E20">
        <f t="shared" si="1"/>
        <v>0.99455921278884163</v>
      </c>
      <c r="F20" s="3">
        <f t="shared" si="2"/>
        <v>1.4238023622365965</v>
      </c>
      <c r="J20">
        <v>1.2</v>
      </c>
      <c r="K20">
        <f t="shared" si="4"/>
        <v>1.0943853296117336</v>
      </c>
    </row>
    <row r="21" spans="2:11">
      <c r="B21">
        <f t="shared" si="3"/>
        <v>1</v>
      </c>
      <c r="C21">
        <v>6</v>
      </c>
      <c r="D21" s="2">
        <f t="shared" si="5"/>
        <v>1.5</v>
      </c>
      <c r="E21">
        <f t="shared" si="1"/>
        <v>0.994531739457996</v>
      </c>
      <c r="F21" s="3">
        <f t="shared" si="2"/>
        <v>1.5075554314943318</v>
      </c>
      <c r="J21">
        <v>1.3</v>
      </c>
      <c r="K21">
        <f t="shared" si="4"/>
        <v>1.0868344142590938</v>
      </c>
    </row>
    <row r="22" spans="2:11">
      <c r="B22">
        <f t="shared" si="3"/>
        <v>1</v>
      </c>
      <c r="C22">
        <v>7</v>
      </c>
      <c r="D22" s="2">
        <f t="shared" si="5"/>
        <v>1.5833333333333335</v>
      </c>
      <c r="E22">
        <f t="shared" si="1"/>
        <v>0.99450398729281109</v>
      </c>
      <c r="F22" s="3">
        <f t="shared" si="2"/>
        <v>1.5913084993871536</v>
      </c>
      <c r="J22">
        <v>1.4</v>
      </c>
      <c r="K22">
        <f t="shared" si="4"/>
        <v>1.0803835215893025</v>
      </c>
    </row>
    <row r="23" spans="2:11">
      <c r="B23">
        <f t="shared" si="3"/>
        <v>1</v>
      </c>
      <c r="C23">
        <v>8</v>
      </c>
      <c r="D23" s="2">
        <f t="shared" si="5"/>
        <v>1.6666666666666665</v>
      </c>
      <c r="E23">
        <f t="shared" si="1"/>
        <v>0.9944759520271147</v>
      </c>
      <c r="F23" s="3">
        <f t="shared" si="2"/>
        <v>1.6750615658871588</v>
      </c>
      <c r="J23">
        <v>1.5</v>
      </c>
      <c r="K23">
        <f t="shared" si="4"/>
        <v>1.0748117185873534</v>
      </c>
    </row>
    <row r="24" spans="2:11">
      <c r="B24">
        <f t="shared" si="3"/>
        <v>1</v>
      </c>
      <c r="C24">
        <v>9</v>
      </c>
      <c r="D24" s="2">
        <f t="shared" si="5"/>
        <v>1.75</v>
      </c>
      <c r="E24">
        <f t="shared" si="1"/>
        <v>0.99444762930726771</v>
      </c>
      <c r="F24" s="3">
        <f t="shared" si="2"/>
        <v>1.7588146309656949</v>
      </c>
      <c r="J24">
        <v>1.6</v>
      </c>
      <c r="K24">
        <f t="shared" si="4"/>
        <v>1.069952857623051</v>
      </c>
    </row>
    <row r="25" spans="2:11">
      <c r="B25">
        <f t="shared" si="3"/>
        <v>1</v>
      </c>
      <c r="C25">
        <v>10</v>
      </c>
      <c r="D25" s="2">
        <f t="shared" si="5"/>
        <v>1.8333333333333335</v>
      </c>
      <c r="E25">
        <f t="shared" si="1"/>
        <v>0.99441901468991079</v>
      </c>
      <c r="F25" s="3">
        <f t="shared" si="2"/>
        <v>1.8425676945933986</v>
      </c>
      <c r="J25">
        <v>1.7</v>
      </c>
      <c r="K25">
        <f t="shared" si="4"/>
        <v>1.0656797557163429</v>
      </c>
    </row>
    <row r="26" spans="2:11">
      <c r="B26">
        <f t="shared" si="3"/>
        <v>1</v>
      </c>
      <c r="C26">
        <v>11</v>
      </c>
      <c r="D26" s="2">
        <f t="shared" si="5"/>
        <v>1.9166666666666665</v>
      </c>
      <c r="E26">
        <f t="shared" si="1"/>
        <v>0.99439010363964153</v>
      </c>
      <c r="F26" s="3">
        <f t="shared" si="2"/>
        <v>1.9263207567401288</v>
      </c>
      <c r="J26">
        <v>1.8</v>
      </c>
      <c r="K26">
        <f t="shared" si="4"/>
        <v>1.06189350734355</v>
      </c>
    </row>
    <row r="27" spans="2:11">
      <c r="B27">
        <f t="shared" si="3"/>
        <v>2</v>
      </c>
      <c r="C27">
        <v>0</v>
      </c>
      <c r="D27" s="2">
        <f>$B$27+C27/12</f>
        <v>2</v>
      </c>
      <c r="E27">
        <f t="shared" si="1"/>
        <v>0.99436089152661855</v>
      </c>
      <c r="F27" s="3">
        <f t="shared" si="2"/>
        <v>2.0100738173749555</v>
      </c>
      <c r="G27" s="3">
        <f>F27-B27</f>
        <v>1.0073817374955496E-2</v>
      </c>
      <c r="H27" t="str">
        <f>IF((12*ABS(G27))&lt;1,"○","×")</f>
        <v>○</v>
      </c>
      <c r="J27">
        <v>1.9</v>
      </c>
      <c r="K27">
        <f t="shared" si="4"/>
        <v>1.0585161032595618</v>
      </c>
    </row>
    <row r="28" spans="2:11">
      <c r="B28">
        <f t="shared" si="3"/>
        <v>2</v>
      </c>
      <c r="C28">
        <v>1</v>
      </c>
      <c r="D28" s="2">
        <f t="shared" ref="D28:D38" si="6">$B$27+C28/12</f>
        <v>2.0833333333333335</v>
      </c>
      <c r="E28">
        <f t="shared" si="1"/>
        <v>0.99433137362409152</v>
      </c>
      <c r="F28" s="3">
        <f t="shared" si="2"/>
        <v>2.0938268764661494</v>
      </c>
      <c r="J28">
        <v>2</v>
      </c>
      <c r="K28">
        <f t="shared" si="4"/>
        <v>1.0554852296016835</v>
      </c>
    </row>
    <row r="29" spans="2:11">
      <c r="B29">
        <f t="shared" si="3"/>
        <v>2</v>
      </c>
      <c r="C29">
        <v>2</v>
      </c>
      <c r="D29" s="2">
        <f t="shared" si="6"/>
        <v>2.1666666666666665</v>
      </c>
      <c r="E29">
        <f t="shared" si="1"/>
        <v>0.99430154510585189</v>
      </c>
      <c r="F29" s="3">
        <f t="shared" si="2"/>
        <v>2.1775799339811375</v>
      </c>
      <c r="J29">
        <v>2.1</v>
      </c>
      <c r="K29">
        <f t="shared" si="4"/>
        <v>1.0527505362573033</v>
      </c>
    </row>
    <row r="30" spans="2:11">
      <c r="B30">
        <f t="shared" si="3"/>
        <v>2</v>
      </c>
      <c r="C30">
        <v>3</v>
      </c>
      <c r="D30" s="2">
        <f t="shared" si="6"/>
        <v>2.25</v>
      </c>
      <c r="E30">
        <f t="shared" si="1"/>
        <v>0.99427140104360379</v>
      </c>
      <c r="F30" s="3">
        <f t="shared" si="2"/>
        <v>2.2613329898864833</v>
      </c>
      <c r="J30">
        <v>2.2000000000000002</v>
      </c>
      <c r="K30">
        <f t="shared" si="4"/>
        <v>1.0502709150099199</v>
      </c>
    </row>
    <row r="31" spans="2:11">
      <c r="B31">
        <f t="shared" si="3"/>
        <v>2</v>
      </c>
      <c r="C31">
        <v>4</v>
      </c>
      <c r="D31" s="2">
        <f t="shared" si="6"/>
        <v>2.3333333333333335</v>
      </c>
      <c r="E31">
        <f t="shared" si="1"/>
        <v>0.99424093640425082</v>
      </c>
      <c r="F31" s="3">
        <f t="shared" si="2"/>
        <v>2.3450860441478589</v>
      </c>
      <c r="J31">
        <v>2.2999999999999998</v>
      </c>
      <c r="K31">
        <f t="shared" si="4"/>
        <v>1.0480124842365717</v>
      </c>
    </row>
    <row r="32" spans="2:11">
      <c r="B32">
        <f t="shared" si="3"/>
        <v>2</v>
      </c>
      <c r="C32">
        <v>5</v>
      </c>
      <c r="D32" s="2">
        <f t="shared" si="6"/>
        <v>2.4166666666666665</v>
      </c>
      <c r="E32">
        <f t="shared" si="1"/>
        <v>0.99421014604709512</v>
      </c>
      <c r="F32" s="3">
        <f t="shared" si="2"/>
        <v>2.4288390967300142</v>
      </c>
      <c r="J32">
        <v>2.4</v>
      </c>
      <c r="K32">
        <f t="shared" si="4"/>
        <v>1.0459470761662804</v>
      </c>
    </row>
    <row r="33" spans="2:11">
      <c r="B33">
        <f t="shared" si="3"/>
        <v>2</v>
      </c>
      <c r="C33">
        <v>6</v>
      </c>
      <c r="D33" s="2">
        <f t="shared" si="6"/>
        <v>2.5</v>
      </c>
      <c r="E33">
        <f t="shared" si="1"/>
        <v>0.99417902472094721</v>
      </c>
      <c r="F33" s="3">
        <f t="shared" si="2"/>
        <v>2.5125921475967594</v>
      </c>
      <c r="J33">
        <v>2.5</v>
      </c>
      <c r="K33">
        <f t="shared" si="4"/>
        <v>1.0440510870252615</v>
      </c>
    </row>
    <row r="34" spans="2:11">
      <c r="B34">
        <f t="shared" si="3"/>
        <v>2</v>
      </c>
      <c r="C34">
        <v>7</v>
      </c>
      <c r="D34" s="2">
        <f t="shared" si="6"/>
        <v>2.5833333333333335</v>
      </c>
      <c r="E34">
        <f t="shared" si="1"/>
        <v>0.99414756706114216</v>
      </c>
      <c r="F34" s="3">
        <f t="shared" si="2"/>
        <v>2.5963451967109101</v>
      </c>
      <c r="J34">
        <v>2.6</v>
      </c>
      <c r="K34">
        <f t="shared" si="4"/>
        <v>1.042304592866373</v>
      </c>
    </row>
    <row r="35" spans="2:11">
      <c r="B35">
        <f t="shared" si="3"/>
        <v>2</v>
      </c>
      <c r="C35">
        <v>8</v>
      </c>
      <c r="D35" s="2">
        <f t="shared" si="6"/>
        <v>2.6666666666666665</v>
      </c>
      <c r="E35">
        <f t="shared" si="1"/>
        <v>0.99411576758645692</v>
      </c>
      <c r="F35" s="3">
        <f t="shared" si="2"/>
        <v>2.6800982440342764</v>
      </c>
      <c r="J35">
        <v>2.7</v>
      </c>
      <c r="K35">
        <f t="shared" si="4"/>
        <v>1.0406906624160186</v>
      </c>
    </row>
    <row r="36" spans="2:11">
      <c r="B36">
        <f t="shared" si="3"/>
        <v>2</v>
      </c>
      <c r="C36">
        <v>9</v>
      </c>
      <c r="D36" s="2">
        <f t="shared" si="6"/>
        <v>2.75</v>
      </c>
      <c r="E36">
        <f t="shared" si="1"/>
        <v>0.99408362069592904</v>
      </c>
      <c r="F36" s="3">
        <f t="shared" si="2"/>
        <v>2.7638512895276239</v>
      </c>
      <c r="J36">
        <v>2.8</v>
      </c>
      <c r="K36">
        <f t="shared" si="4"/>
        <v>1.0391948177534251</v>
      </c>
    </row>
    <row r="37" spans="2:11">
      <c r="B37">
        <f t="shared" si="3"/>
        <v>2</v>
      </c>
      <c r="C37">
        <v>10</v>
      </c>
      <c r="D37" s="2">
        <f t="shared" si="6"/>
        <v>2.8333333333333335</v>
      </c>
      <c r="E37">
        <f t="shared" si="1"/>
        <v>0.99405112066556844</v>
      </c>
      <c r="F37" s="3">
        <f t="shared" si="2"/>
        <v>2.8476043331506382</v>
      </c>
      <c r="J37">
        <v>2.9</v>
      </c>
      <c r="K37">
        <f t="shared" si="4"/>
        <v>1.0378046071363358</v>
      </c>
    </row>
    <row r="38" spans="2:11">
      <c r="B38">
        <f t="shared" si="3"/>
        <v>2</v>
      </c>
      <c r="C38">
        <v>11</v>
      </c>
      <c r="D38" s="2">
        <f t="shared" si="6"/>
        <v>2.9166666666666665</v>
      </c>
      <c r="E38">
        <f t="shared" si="1"/>
        <v>0.99401826164496199</v>
      </c>
      <c r="F38" s="3">
        <f t="shared" si="2"/>
        <v>2.931357374861884</v>
      </c>
      <c r="J38">
        <v>3</v>
      </c>
      <c r="K38">
        <f t="shared" si="4"/>
        <v>1.0365092637706548</v>
      </c>
    </row>
    <row r="39" spans="2:11">
      <c r="B39">
        <f t="shared" si="3"/>
        <v>3</v>
      </c>
      <c r="C39">
        <v>0</v>
      </c>
      <c r="D39" s="2">
        <f>$B$39+C39/12</f>
        <v>3</v>
      </c>
      <c r="E39">
        <f t="shared" si="1"/>
        <v>0.99398503765376378</v>
      </c>
      <c r="F39" s="3">
        <f t="shared" si="2"/>
        <v>3.0151104146187748</v>
      </c>
      <c r="G39" s="3">
        <f>F39-B39</f>
        <v>1.5110414618774826E-2</v>
      </c>
      <c r="H39" t="str">
        <f>IF((12*ABS(G39))&lt;1,"○","×")</f>
        <v>○</v>
      </c>
      <c r="J39">
        <v>4</v>
      </c>
      <c r="K39">
        <f t="shared" si="4"/>
        <v>1.0271840943094632</v>
      </c>
    </row>
    <row r="40" spans="2:11">
      <c r="B40">
        <f t="shared" si="3"/>
        <v>3</v>
      </c>
      <c r="C40">
        <v>1</v>
      </c>
      <c r="D40" s="2">
        <f t="shared" ref="D40:D50" si="7">$B$39+C40/12</f>
        <v>3.0833333333333335</v>
      </c>
      <c r="E40">
        <f t="shared" si="1"/>
        <v>0.99395144257806844</v>
      </c>
      <c r="F40" s="3">
        <f t="shared" si="2"/>
        <v>3.0988634523775325</v>
      </c>
      <c r="J40">
        <v>5</v>
      </c>
      <c r="K40">
        <f t="shared" si="4"/>
        <v>1.0216480109333539</v>
      </c>
    </row>
    <row r="41" spans="2:11">
      <c r="B41">
        <f t="shared" si="3"/>
        <v>3</v>
      </c>
      <c r="C41">
        <v>2</v>
      </c>
      <c r="D41" s="2">
        <f t="shared" si="7"/>
        <v>3.1666666666666665</v>
      </c>
      <c r="E41">
        <f t="shared" si="1"/>
        <v>0.99391747016666199</v>
      </c>
      <c r="F41" s="3">
        <f t="shared" si="2"/>
        <v>3.1826164880931458</v>
      </c>
      <c r="J41">
        <v>6</v>
      </c>
      <c r="K41">
        <f t="shared" si="4"/>
        <v>1.0179834128765954</v>
      </c>
    </row>
    <row r="42" spans="2:11">
      <c r="B42">
        <f t="shared" si="3"/>
        <v>3</v>
      </c>
      <c r="C42">
        <v>3</v>
      </c>
      <c r="D42" s="2">
        <f t="shared" si="7"/>
        <v>3.25</v>
      </c>
      <c r="E42">
        <f t="shared" si="1"/>
        <v>0.99388311402714646</v>
      </c>
      <c r="F42" s="3">
        <f t="shared" si="2"/>
        <v>3.26636952171933</v>
      </c>
      <c r="J42">
        <v>7</v>
      </c>
      <c r="K42">
        <f t="shared" si="4"/>
        <v>1.0153791067878806</v>
      </c>
    </row>
    <row r="43" spans="2:11">
      <c r="B43">
        <f t="shared" si="3"/>
        <v>3</v>
      </c>
      <c r="C43">
        <v>4</v>
      </c>
      <c r="D43" s="2">
        <f t="shared" si="7"/>
        <v>3.3333333333333335</v>
      </c>
      <c r="E43">
        <f t="shared" si="1"/>
        <v>0.99384836762193096</v>
      </c>
      <c r="F43" s="3">
        <f t="shared" si="2"/>
        <v>3.3501225532084806</v>
      </c>
      <c r="J43">
        <v>8</v>
      </c>
      <c r="K43">
        <f t="shared" si="4"/>
        <v>1.0134333063752401</v>
      </c>
    </row>
    <row r="44" spans="2:11">
      <c r="B44">
        <f t="shared" si="3"/>
        <v>3</v>
      </c>
      <c r="C44">
        <v>5</v>
      </c>
      <c r="D44" s="2">
        <f t="shared" si="7"/>
        <v>3.4166666666666665</v>
      </c>
      <c r="E44">
        <f t="shared" si="1"/>
        <v>0.99381322426408758</v>
      </c>
      <c r="F44" s="3">
        <f t="shared" si="2"/>
        <v>3.4338755825116269</v>
      </c>
      <c r="J44">
        <v>9</v>
      </c>
      <c r="K44">
        <f t="shared" si="4"/>
        <v>1.0119243842507113</v>
      </c>
    </row>
    <row r="45" spans="2:11">
      <c r="B45">
        <f t="shared" si="3"/>
        <v>3</v>
      </c>
      <c r="C45">
        <v>6</v>
      </c>
      <c r="D45" s="2">
        <f t="shared" si="7"/>
        <v>3.5</v>
      </c>
      <c r="E45">
        <f t="shared" si="1"/>
        <v>0.99377767711306242</v>
      </c>
      <c r="F45" s="3">
        <f t="shared" si="2"/>
        <v>3.5176286095783915</v>
      </c>
      <c r="J45" s="6">
        <v>10</v>
      </c>
      <c r="K45" s="6">
        <f t="shared" si="4"/>
        <v>1.0107201041439151</v>
      </c>
    </row>
    <row r="46" spans="2:11">
      <c r="B46">
        <f t="shared" si="3"/>
        <v>3</v>
      </c>
      <c r="C46">
        <v>7</v>
      </c>
      <c r="D46" s="2">
        <f t="shared" si="7"/>
        <v>3.5833333333333335</v>
      </c>
      <c r="E46">
        <f t="shared" si="1"/>
        <v>0.9937417191702389</v>
      </c>
      <c r="F46" s="3">
        <f t="shared" si="2"/>
        <v>3.6013816343569438</v>
      </c>
    </row>
    <row r="47" spans="2:11">
      <c r="B47">
        <f t="shared" si="3"/>
        <v>3</v>
      </c>
      <c r="C47">
        <v>8</v>
      </c>
      <c r="D47" s="2">
        <f t="shared" si="7"/>
        <v>3.6666666666666665</v>
      </c>
      <c r="E47">
        <f t="shared" si="1"/>
        <v>0.99370534327434734</v>
      </c>
      <c r="F47" s="3">
        <f t="shared" si="2"/>
        <v>3.6851346567939274</v>
      </c>
    </row>
    <row r="48" spans="2:11">
      <c r="B48">
        <f t="shared" si="3"/>
        <v>3</v>
      </c>
      <c r="C48">
        <v>9</v>
      </c>
      <c r="D48" s="2">
        <f t="shared" si="7"/>
        <v>3.75</v>
      </c>
      <c r="E48">
        <f t="shared" si="1"/>
        <v>0.99366854209671174</v>
      </c>
      <c r="F48" s="3">
        <f t="shared" si="2"/>
        <v>3.7688876768344368</v>
      </c>
    </row>
    <row r="49" spans="2:8">
      <c r="B49">
        <f t="shared" si="3"/>
        <v>3</v>
      </c>
      <c r="C49">
        <v>10</v>
      </c>
      <c r="D49" s="2">
        <f t="shared" si="7"/>
        <v>3.8333333333333335</v>
      </c>
      <c r="E49">
        <f t="shared" si="1"/>
        <v>0.99363130813633083</v>
      </c>
      <c r="F49" s="3">
        <f t="shared" si="2"/>
        <v>3.8526406944219378</v>
      </c>
    </row>
    <row r="50" spans="2:8">
      <c r="B50">
        <f t="shared" si="3"/>
        <v>3</v>
      </c>
      <c r="C50">
        <v>11</v>
      </c>
      <c r="D50" s="2">
        <f t="shared" si="7"/>
        <v>3.9166666666666665</v>
      </c>
      <c r="E50">
        <f t="shared" si="1"/>
        <v>0.99359363371478271</v>
      </c>
      <c r="F50" s="3">
        <f t="shared" si="2"/>
        <v>3.9363937094982226</v>
      </c>
    </row>
    <row r="51" spans="2:8">
      <c r="B51">
        <f t="shared" si="3"/>
        <v>4</v>
      </c>
      <c r="C51">
        <v>0</v>
      </c>
      <c r="D51" s="2">
        <f>$B$51+C51/12</f>
        <v>4</v>
      </c>
      <c r="E51">
        <f t="shared" si="1"/>
        <v>0.99355551097094974</v>
      </c>
      <c r="F51" s="3">
        <f t="shared" si="2"/>
        <v>4.02014672200335</v>
      </c>
      <c r="G51" s="3">
        <f>F51-B51</f>
        <v>2.0146722003349993E-2</v>
      </c>
      <c r="H51" t="str">
        <f>IF((12*ABS(G51))&lt;1,"○","×")</f>
        <v>○</v>
      </c>
    </row>
    <row r="52" spans="2:8">
      <c r="B52">
        <f t="shared" si="3"/>
        <v>4</v>
      </c>
      <c r="C52">
        <v>1</v>
      </c>
      <c r="D52" s="2">
        <f t="shared" ref="D52:D62" si="8">$B$51+C52/12</f>
        <v>4.083333333333333</v>
      </c>
      <c r="E52">
        <f t="shared" si="1"/>
        <v>0.99351693185555279</v>
      </c>
      <c r="F52" s="3">
        <f t="shared" si="2"/>
        <v>4.1038997318755719</v>
      </c>
    </row>
    <row r="53" spans="2:8">
      <c r="B53">
        <f t="shared" si="3"/>
        <v>4</v>
      </c>
      <c r="C53">
        <v>2</v>
      </c>
      <c r="D53" s="2">
        <f t="shared" si="8"/>
        <v>4.166666666666667</v>
      </c>
      <c r="E53">
        <f t="shared" si="1"/>
        <v>0.99347788812548776</v>
      </c>
      <c r="F53" s="3">
        <f t="shared" si="2"/>
        <v>4.1876527390512894</v>
      </c>
    </row>
    <row r="54" spans="2:8">
      <c r="B54">
        <f t="shared" si="3"/>
        <v>4</v>
      </c>
      <c r="C54">
        <v>3</v>
      </c>
      <c r="D54" s="2">
        <f t="shared" si="8"/>
        <v>4.25</v>
      </c>
      <c r="E54">
        <f t="shared" si="1"/>
        <v>0.9934383713379582</v>
      </c>
      <c r="F54" s="3">
        <f t="shared" si="2"/>
        <v>4.2714057434649515</v>
      </c>
    </row>
    <row r="55" spans="2:8">
      <c r="B55">
        <f t="shared" si="3"/>
        <v>4</v>
      </c>
      <c r="C55">
        <v>4</v>
      </c>
      <c r="D55" s="2">
        <f t="shared" si="8"/>
        <v>4.333333333333333</v>
      </c>
      <c r="E55">
        <f t="shared" si="1"/>
        <v>0.99339837284439092</v>
      </c>
      <c r="F55" s="3">
        <f t="shared" si="2"/>
        <v>4.3551587450490228</v>
      </c>
    </row>
    <row r="56" spans="2:8">
      <c r="B56">
        <f t="shared" si="3"/>
        <v>4</v>
      </c>
      <c r="C56">
        <v>5</v>
      </c>
      <c r="D56" s="2">
        <f t="shared" si="8"/>
        <v>4.416666666666667</v>
      </c>
      <c r="E56">
        <f t="shared" si="1"/>
        <v>0.9933578837841307</v>
      </c>
      <c r="F56" s="3">
        <f t="shared" si="2"/>
        <v>4.4389117437338843</v>
      </c>
    </row>
    <row r="57" spans="2:8">
      <c r="B57">
        <f t="shared" si="3"/>
        <v>4</v>
      </c>
      <c r="C57">
        <v>6</v>
      </c>
      <c r="D57" s="2">
        <f t="shared" si="8"/>
        <v>4.5</v>
      </c>
      <c r="E57">
        <f t="shared" si="1"/>
        <v>0.993316895077899</v>
      </c>
      <c r="F57" s="3">
        <f t="shared" si="2"/>
        <v>4.5226647394477535</v>
      </c>
    </row>
    <row r="58" spans="2:8">
      <c r="B58">
        <f t="shared" si="3"/>
        <v>4</v>
      </c>
      <c r="C58">
        <v>7</v>
      </c>
      <c r="D58" s="2">
        <f t="shared" si="8"/>
        <v>4.583333333333333</v>
      </c>
      <c r="E58">
        <f t="shared" si="1"/>
        <v>0.9932753974210109</v>
      </c>
      <c r="F58" s="3">
        <f t="shared" si="2"/>
        <v>4.6064177321166291</v>
      </c>
    </row>
    <row r="59" spans="2:8">
      <c r="B59">
        <f t="shared" si="3"/>
        <v>4</v>
      </c>
      <c r="C59">
        <v>8</v>
      </c>
      <c r="D59" s="2">
        <f t="shared" si="8"/>
        <v>4.666666666666667</v>
      </c>
      <c r="E59">
        <f t="shared" si="1"/>
        <v>0.99323338127633776</v>
      </c>
      <c r="F59" s="3">
        <f t="shared" si="2"/>
        <v>4.690170721664181</v>
      </c>
    </row>
    <row r="60" spans="2:8">
      <c r="B60">
        <f t="shared" si="3"/>
        <v>4</v>
      </c>
      <c r="C60">
        <v>9</v>
      </c>
      <c r="D60" s="2">
        <f t="shared" si="8"/>
        <v>4.75</v>
      </c>
      <c r="E60">
        <f t="shared" si="1"/>
        <v>0.99319083686700338</v>
      </c>
      <c r="F60" s="3">
        <f t="shared" si="2"/>
        <v>4.7739237080116688</v>
      </c>
    </row>
    <row r="61" spans="2:8">
      <c r="B61">
        <f t="shared" si="3"/>
        <v>4</v>
      </c>
      <c r="C61">
        <v>10</v>
      </c>
      <c r="D61" s="2">
        <f t="shared" si="8"/>
        <v>4.833333333333333</v>
      </c>
      <c r="E61">
        <f t="shared" si="1"/>
        <v>0.99314775416880496</v>
      </c>
      <c r="F61" s="3">
        <f t="shared" si="2"/>
        <v>4.8576766910778648</v>
      </c>
    </row>
    <row r="62" spans="2:8">
      <c r="B62">
        <f t="shared" si="3"/>
        <v>4</v>
      </c>
      <c r="C62">
        <v>11</v>
      </c>
      <c r="D62" s="2">
        <f t="shared" si="8"/>
        <v>4.916666666666667</v>
      </c>
      <c r="E62">
        <f t="shared" si="1"/>
        <v>0.99310412290234273</v>
      </c>
      <c r="F62" s="3">
        <f t="shared" si="2"/>
        <v>4.9414296707789482</v>
      </c>
    </row>
    <row r="63" spans="2:8">
      <c r="B63">
        <f t="shared" si="3"/>
        <v>5</v>
      </c>
      <c r="C63">
        <v>0</v>
      </c>
      <c r="D63" s="2">
        <f>$B$63+C63/12</f>
        <v>5</v>
      </c>
      <c r="E63">
        <f t="shared" si="1"/>
        <v>0.99305993252484925</v>
      </c>
      <c r="F63" s="3">
        <f t="shared" si="2"/>
        <v>5.0251826470283874</v>
      </c>
      <c r="G63" s="3">
        <f>F63-B63</f>
        <v>2.518264702838735E-2</v>
      </c>
      <c r="H63" t="str">
        <f>IF((12*ABS(G63))&lt;1,"○","×")</f>
        <v>○</v>
      </c>
    </row>
    <row r="64" spans="2:8">
      <c r="B64">
        <f t="shared" si="3"/>
        <v>5</v>
      </c>
      <c r="C64">
        <v>1</v>
      </c>
      <c r="D64" s="2">
        <f t="shared" ref="D64:D74" si="9">$B$63+C64/12</f>
        <v>5.083333333333333</v>
      </c>
      <c r="E64">
        <f t="shared" si="1"/>
        <v>0.99301517222170099</v>
      </c>
      <c r="F64" s="3">
        <f t="shared" si="2"/>
        <v>5.1089356197368687</v>
      </c>
    </row>
    <row r="65" spans="2:8">
      <c r="B65">
        <f t="shared" si="3"/>
        <v>5</v>
      </c>
      <c r="C65">
        <v>2</v>
      </c>
      <c r="D65" s="2">
        <f t="shared" si="9"/>
        <v>5.166666666666667</v>
      </c>
      <c r="E65">
        <f t="shared" si="1"/>
        <v>0.99296983089760049</v>
      </c>
      <c r="F65" s="3">
        <f t="shared" si="2"/>
        <v>5.192688588812171</v>
      </c>
    </row>
    <row r="66" spans="2:8">
      <c r="B66">
        <f t="shared" si="3"/>
        <v>5</v>
      </c>
      <c r="C66">
        <v>3</v>
      </c>
      <c r="D66" s="2">
        <f t="shared" si="9"/>
        <v>5.25</v>
      </c>
      <c r="E66">
        <f t="shared" si="1"/>
        <v>0.99292389716741303</v>
      </c>
      <c r="F66" s="3">
        <f t="shared" si="2"/>
        <v>5.2764415541590406</v>
      </c>
    </row>
    <row r="67" spans="2:8">
      <c r="B67">
        <f t="shared" si="3"/>
        <v>5</v>
      </c>
      <c r="C67">
        <v>4</v>
      </c>
      <c r="D67" s="2">
        <f t="shared" si="9"/>
        <v>5.333333333333333</v>
      </c>
      <c r="E67">
        <f t="shared" si="1"/>
        <v>0.99287735934664201</v>
      </c>
      <c r="F67" s="3">
        <f t="shared" si="2"/>
        <v>5.3601945156790869</v>
      </c>
    </row>
    <row r="68" spans="2:8">
      <c r="B68">
        <f t="shared" si="3"/>
        <v>5</v>
      </c>
      <c r="C68">
        <v>5</v>
      </c>
      <c r="D68" s="2">
        <f t="shared" si="9"/>
        <v>5.416666666666667</v>
      </c>
      <c r="E68">
        <f t="shared" ref="E68:E117" si="10">(-1/(PI())*ATAN($N$3*(D68-$I$8))+1/2)</f>
        <v>0.99283020544152589</v>
      </c>
      <c r="F68" s="3">
        <f t="shared" ref="F68:F117" si="11">$O$3*E68*(D68-$I$8)+$I$8</f>
        <v>5.4439474732706596</v>
      </c>
    </row>
    <row r="69" spans="2:8">
      <c r="B69">
        <f t="shared" ref="B69:B99" si="12">IF(C69=0,B68+1,B68)</f>
        <v>5</v>
      </c>
      <c r="C69">
        <v>6</v>
      </c>
      <c r="D69" s="2">
        <f t="shared" si="9"/>
        <v>5.5</v>
      </c>
      <c r="E69">
        <f t="shared" si="10"/>
        <v>0.99278242313873988</v>
      </c>
      <c r="F69" s="3">
        <f t="shared" si="11"/>
        <v>5.5277004268286962</v>
      </c>
    </row>
    <row r="70" spans="2:8">
      <c r="B70">
        <f t="shared" si="12"/>
        <v>5</v>
      </c>
      <c r="C70">
        <v>7</v>
      </c>
      <c r="D70" s="2">
        <f t="shared" si="9"/>
        <v>5.583333333333333</v>
      </c>
      <c r="E70">
        <f t="shared" si="10"/>
        <v>0.99273399979468357</v>
      </c>
      <c r="F70" s="3">
        <f t="shared" si="11"/>
        <v>5.6114533762446133</v>
      </c>
    </row>
    <row r="71" spans="2:8">
      <c r="B71">
        <f t="shared" si="12"/>
        <v>5</v>
      </c>
      <c r="C71">
        <v>8</v>
      </c>
      <c r="D71" s="2">
        <f t="shared" si="9"/>
        <v>5.666666666666667</v>
      </c>
      <c r="E71">
        <f t="shared" si="10"/>
        <v>0.99268492242433437</v>
      </c>
      <c r="F71" s="3">
        <f t="shared" si="11"/>
        <v>5.6952063214061432</v>
      </c>
    </row>
    <row r="72" spans="2:8">
      <c r="B72">
        <f t="shared" si="12"/>
        <v>5</v>
      </c>
      <c r="C72">
        <v>9</v>
      </c>
      <c r="D72" s="2">
        <f t="shared" si="9"/>
        <v>5.75</v>
      </c>
      <c r="E72">
        <f t="shared" si="10"/>
        <v>0.99263517768964649</v>
      </c>
      <c r="F72" s="3">
        <f t="shared" si="11"/>
        <v>5.778959262197187</v>
      </c>
    </row>
    <row r="73" spans="2:8">
      <c r="B73">
        <f t="shared" si="12"/>
        <v>5</v>
      </c>
      <c r="C73">
        <v>10</v>
      </c>
      <c r="D73" s="2">
        <f t="shared" si="9"/>
        <v>5.833333333333333</v>
      </c>
      <c r="E73">
        <f t="shared" si="10"/>
        <v>0.99258475188747464</v>
      </c>
      <c r="F73" s="3">
        <f t="shared" si="11"/>
        <v>5.8627121984976593</v>
      </c>
    </row>
    <row r="74" spans="2:8">
      <c r="B74">
        <f t="shared" si="12"/>
        <v>5</v>
      </c>
      <c r="C74">
        <v>11</v>
      </c>
      <c r="D74" s="2">
        <f t="shared" si="9"/>
        <v>5.916666666666667</v>
      </c>
      <c r="E74">
        <f t="shared" si="10"/>
        <v>0.99253363093699754</v>
      </c>
      <c r="F74" s="3">
        <f t="shared" si="11"/>
        <v>5.9464651301833307</v>
      </c>
    </row>
    <row r="75" spans="2:8">
      <c r="B75">
        <f t="shared" si="12"/>
        <v>6</v>
      </c>
      <c r="C75">
        <v>0</v>
      </c>
      <c r="D75" s="2">
        <f>$B75+C75/12</f>
        <v>6</v>
      </c>
      <c r="E75">
        <f t="shared" si="10"/>
        <v>0.99248180036661848</v>
      </c>
      <c r="F75" s="3">
        <f t="shared" si="11"/>
        <v>6.0302180571256336</v>
      </c>
      <c r="G75" s="3">
        <f>F75-B75</f>
        <v>3.0218057125633635E-2</v>
      </c>
      <c r="H75" t="str">
        <f>IF((12*ABS(G75))&lt;1,"○","×")</f>
        <v>○</v>
      </c>
    </row>
    <row r="76" spans="2:8">
      <c r="B76">
        <f t="shared" si="12"/>
        <v>7</v>
      </c>
      <c r="D76" s="2">
        <f t="shared" ref="D76:D98" si="13">$B76+C76/12</f>
        <v>7</v>
      </c>
      <c r="E76">
        <f t="shared" si="10"/>
        <v>0.99179861752380361</v>
      </c>
      <c r="F76" s="3">
        <f t="shared" si="11"/>
        <v>7.0352527568761207</v>
      </c>
      <c r="G76" s="3">
        <f t="shared" ref="G76:G87" si="14">F76-B76</f>
        <v>3.5252756876120728E-2</v>
      </c>
      <c r="H76" t="str">
        <f t="shared" ref="H76:H87" si="15">IF((12*ABS(G76))&lt;1,"○","×")</f>
        <v>○</v>
      </c>
    </row>
    <row r="77" spans="2:8">
      <c r="B77">
        <f t="shared" si="12"/>
        <v>8</v>
      </c>
      <c r="D77" s="2">
        <f t="shared" si="13"/>
        <v>8</v>
      </c>
      <c r="E77">
        <f t="shared" si="10"/>
        <v>0.99097889841481268</v>
      </c>
      <c r="F77" s="3">
        <f t="shared" si="11"/>
        <v>8.0402864485496028</v>
      </c>
      <c r="G77" s="3">
        <f t="shared" si="14"/>
        <v>4.0286448549602838E-2</v>
      </c>
      <c r="H77" t="str">
        <f t="shared" si="15"/>
        <v>○</v>
      </c>
    </row>
    <row r="78" spans="2:8">
      <c r="B78">
        <f t="shared" si="12"/>
        <v>9</v>
      </c>
      <c r="D78" s="2">
        <f t="shared" si="13"/>
        <v>9</v>
      </c>
      <c r="E78">
        <f t="shared" si="10"/>
        <v>0.98997718310395699</v>
      </c>
      <c r="F78" s="3">
        <f t="shared" si="11"/>
        <v>9.0453186604040692</v>
      </c>
      <c r="G78" s="3">
        <f t="shared" si="14"/>
        <v>4.5318660404069178E-2</v>
      </c>
      <c r="H78" t="str">
        <f t="shared" si="15"/>
        <v>○</v>
      </c>
    </row>
    <row r="79" spans="2:8">
      <c r="B79">
        <f t="shared" si="12"/>
        <v>10</v>
      </c>
      <c r="D79" s="2">
        <f t="shared" si="13"/>
        <v>10</v>
      </c>
      <c r="E79">
        <f t="shared" si="10"/>
        <v>0.98872532048929496</v>
      </c>
      <c r="F79" s="3">
        <f t="shared" si="11"/>
        <v>10.050348608720952</v>
      </c>
      <c r="G79" s="3">
        <f t="shared" si="14"/>
        <v>5.034860872095237E-2</v>
      </c>
      <c r="H79" t="str">
        <f t="shared" si="15"/>
        <v>○</v>
      </c>
    </row>
    <row r="80" spans="2:8">
      <c r="B80">
        <f t="shared" si="12"/>
        <v>11</v>
      </c>
      <c r="D80" s="2">
        <f t="shared" si="13"/>
        <v>11</v>
      </c>
      <c r="E80">
        <f t="shared" si="10"/>
        <v>0.98711630079252199</v>
      </c>
      <c r="F80" s="3">
        <f t="shared" si="11"/>
        <v>11.055374913117586</v>
      </c>
      <c r="G80" s="3">
        <f t="shared" si="14"/>
        <v>5.5374913117585578E-2</v>
      </c>
      <c r="H80" t="str">
        <f t="shared" si="15"/>
        <v>○</v>
      </c>
    </row>
    <row r="81" spans="2:8">
      <c r="B81">
        <f t="shared" si="12"/>
        <v>12</v>
      </c>
      <c r="D81" s="2">
        <f t="shared" si="13"/>
        <v>12</v>
      </c>
      <c r="E81">
        <f t="shared" si="10"/>
        <v>0.98497197963535532</v>
      </c>
      <c r="F81" s="3">
        <f t="shared" si="11"/>
        <v>12.060394955493713</v>
      </c>
      <c r="G81" s="3">
        <f t="shared" si="14"/>
        <v>6.0394955493713098E-2</v>
      </c>
      <c r="H81" t="str">
        <f t="shared" si="15"/>
        <v>○</v>
      </c>
    </row>
    <row r="82" spans="2:8">
      <c r="B82">
        <f t="shared" si="12"/>
        <v>13</v>
      </c>
      <c r="D82" s="2">
        <f t="shared" si="13"/>
        <v>13</v>
      </c>
      <c r="E82">
        <f t="shared" si="10"/>
        <v>0.98197226493232304</v>
      </c>
      <c r="F82" s="3">
        <f t="shared" si="11"/>
        <v>13.065403264469396</v>
      </c>
      <c r="G82" s="3">
        <f t="shared" si="14"/>
        <v>6.5403264469395594E-2</v>
      </c>
      <c r="H82" t="str">
        <f t="shared" si="15"/>
        <v>○</v>
      </c>
    </row>
    <row r="83" spans="2:8">
      <c r="B83">
        <f t="shared" si="12"/>
        <v>14</v>
      </c>
      <c r="D83" s="2">
        <f t="shared" si="13"/>
        <v>14</v>
      </c>
      <c r="E83">
        <f t="shared" si="10"/>
        <v>0.97747886081442426</v>
      </c>
      <c r="F83" s="3">
        <f t="shared" si="11"/>
        <v>14.070386777404584</v>
      </c>
      <c r="G83" s="3">
        <f t="shared" si="14"/>
        <v>7.0386777404584322E-2</v>
      </c>
      <c r="H83" t="str">
        <f t="shared" si="15"/>
        <v>○</v>
      </c>
    </row>
    <row r="84" spans="2:8">
      <c r="B84">
        <f t="shared" si="12"/>
        <v>15</v>
      </c>
      <c r="D84" s="2">
        <f t="shared" si="13"/>
        <v>15</v>
      </c>
      <c r="E84">
        <f t="shared" si="10"/>
        <v>0.9700106560531021</v>
      </c>
      <c r="F84" s="3">
        <f t="shared" si="11"/>
        <v>15.075307569637257</v>
      </c>
      <c r="G84" s="3">
        <f t="shared" si="14"/>
        <v>7.5307569637256933E-2</v>
      </c>
      <c r="H84" t="str">
        <f t="shared" si="15"/>
        <v>○</v>
      </c>
    </row>
    <row r="85" spans="2:8">
      <c r="B85">
        <f t="shared" si="12"/>
        <v>16</v>
      </c>
      <c r="D85" s="2">
        <f t="shared" si="13"/>
        <v>16</v>
      </c>
      <c r="E85">
        <f t="shared" si="10"/>
        <v>0.95518096686918352</v>
      </c>
      <c r="F85" s="3">
        <f t="shared" si="11"/>
        <v>16.080013845898801</v>
      </c>
      <c r="G85" s="3">
        <f t="shared" si="14"/>
        <v>8.0013845898800895E-2</v>
      </c>
      <c r="H85" t="str">
        <f t="shared" si="15"/>
        <v>○</v>
      </c>
    </row>
    <row r="86" spans="2:8">
      <c r="B86">
        <f t="shared" si="12"/>
        <v>17</v>
      </c>
      <c r="D86" s="2">
        <f t="shared" si="13"/>
        <v>17</v>
      </c>
      <c r="E86">
        <f t="shared" si="10"/>
        <v>0.91207173665614616</v>
      </c>
      <c r="F86" s="3">
        <f t="shared" si="11"/>
        <v>17.083333333333332</v>
      </c>
      <c r="G86" s="3">
        <f t="shared" si="14"/>
        <v>8.3333333333332149E-2</v>
      </c>
      <c r="H86" t="str">
        <f t="shared" si="15"/>
        <v>○</v>
      </c>
    </row>
    <row r="87" spans="2:8">
      <c r="B87">
        <f t="shared" si="12"/>
        <v>18</v>
      </c>
      <c r="D87" s="2">
        <f t="shared" si="13"/>
        <v>18</v>
      </c>
      <c r="E87">
        <f t="shared" si="10"/>
        <v>0.5</v>
      </c>
      <c r="F87" s="3">
        <f t="shared" si="11"/>
        <v>18</v>
      </c>
      <c r="G87" s="3">
        <f t="shared" si="14"/>
        <v>0</v>
      </c>
      <c r="H87" t="str">
        <f t="shared" si="15"/>
        <v>○</v>
      </c>
    </row>
    <row r="88" spans="2:8">
      <c r="B88">
        <f t="shared" si="12"/>
        <v>19</v>
      </c>
      <c r="D88" s="2">
        <f t="shared" si="13"/>
        <v>19</v>
      </c>
      <c r="E88">
        <f t="shared" si="10"/>
        <v>8.7928263343853841E-2</v>
      </c>
      <c r="F88" s="3">
        <f t="shared" si="11"/>
        <v>18.088371237508905</v>
      </c>
    </row>
    <row r="89" spans="2:8">
      <c r="B89">
        <f t="shared" si="12"/>
        <v>20</v>
      </c>
      <c r="D89" s="2">
        <f t="shared" si="13"/>
        <v>20</v>
      </c>
      <c r="E89">
        <f t="shared" si="10"/>
        <v>4.4819033130816477E-2</v>
      </c>
      <c r="F89" s="3">
        <f t="shared" si="11"/>
        <v>18.090089654249944</v>
      </c>
    </row>
    <row r="90" spans="2:8">
      <c r="B90">
        <f t="shared" si="12"/>
        <v>21</v>
      </c>
      <c r="D90" s="2">
        <f t="shared" si="13"/>
        <v>21</v>
      </c>
      <c r="E90">
        <f t="shared" si="10"/>
        <v>2.9989343946897951E-2</v>
      </c>
      <c r="F90" s="3">
        <f t="shared" si="11"/>
        <v>18.090421282163973</v>
      </c>
    </row>
    <row r="91" spans="2:8">
      <c r="B91">
        <f t="shared" si="12"/>
        <v>22</v>
      </c>
      <c r="D91" s="2">
        <f t="shared" si="13"/>
        <v>22</v>
      </c>
      <c r="E91">
        <f t="shared" si="10"/>
        <v>2.2521139185575745E-2</v>
      </c>
      <c r="F91" s="3">
        <f t="shared" si="11"/>
        <v>18.090538394106868</v>
      </c>
    </row>
    <row r="92" spans="2:8">
      <c r="B92">
        <f t="shared" si="12"/>
        <v>23</v>
      </c>
      <c r="D92" s="2">
        <f t="shared" si="13"/>
        <v>23</v>
      </c>
      <c r="E92">
        <f t="shared" si="10"/>
        <v>1.802773506767702E-2</v>
      </c>
      <c r="F92" s="3">
        <f t="shared" si="11"/>
        <v>18.090592785347251</v>
      </c>
    </row>
    <row r="93" spans="2:8">
      <c r="B93">
        <f t="shared" si="12"/>
        <v>24</v>
      </c>
      <c r="D93" s="2">
        <f t="shared" si="13"/>
        <v>24</v>
      </c>
      <c r="E93">
        <f t="shared" si="10"/>
        <v>1.5028020364644734E-2</v>
      </c>
      <c r="F93" s="3">
        <f t="shared" si="11"/>
        <v>18.090622380547142</v>
      </c>
    </row>
    <row r="94" spans="2:8">
      <c r="B94">
        <f t="shared" si="12"/>
        <v>25</v>
      </c>
      <c r="D94" s="2">
        <f t="shared" si="13"/>
        <v>25</v>
      </c>
      <c r="E94">
        <f t="shared" si="10"/>
        <v>1.2883699207478005E-2</v>
      </c>
      <c r="F94" s="3">
        <f t="shared" si="11"/>
        <v>18.090640242346584</v>
      </c>
    </row>
    <row r="95" spans="2:8">
      <c r="B95">
        <f t="shared" si="12"/>
        <v>26</v>
      </c>
      <c r="D95" s="2">
        <f t="shared" si="13"/>
        <v>26</v>
      </c>
      <c r="E95">
        <f t="shared" si="10"/>
        <v>1.1274679510705099E-2</v>
      </c>
      <c r="F95" s="3">
        <f t="shared" si="11"/>
        <v>18.090651842125524</v>
      </c>
    </row>
    <row r="96" spans="2:8">
      <c r="B96">
        <f t="shared" si="12"/>
        <v>27</v>
      </c>
      <c r="D96" s="2">
        <f t="shared" si="13"/>
        <v>27</v>
      </c>
      <c r="E96">
        <f t="shared" si="10"/>
        <v>1.0022816896042952E-2</v>
      </c>
      <c r="F96" s="3">
        <f t="shared" si="11"/>
        <v>18.090659797984209</v>
      </c>
    </row>
    <row r="97" spans="2:6">
      <c r="B97">
        <f t="shared" si="12"/>
        <v>28</v>
      </c>
      <c r="D97" s="2">
        <f t="shared" si="13"/>
        <v>28</v>
      </c>
      <c r="E97">
        <f t="shared" si="10"/>
        <v>9.0211015851872633E-3</v>
      </c>
      <c r="F97" s="3">
        <f t="shared" si="11"/>
        <v>18.090665490305316</v>
      </c>
    </row>
    <row r="98" spans="2:6">
      <c r="B98">
        <f t="shared" si="12"/>
        <v>29</v>
      </c>
      <c r="D98" s="2">
        <f t="shared" si="13"/>
        <v>29</v>
      </c>
      <c r="E98">
        <f t="shared" si="10"/>
        <v>8.2013824761963949E-3</v>
      </c>
      <c r="F98" s="3">
        <f t="shared" si="11"/>
        <v>18.090669702807407</v>
      </c>
    </row>
    <row r="99" spans="2:6">
      <c r="B99">
        <f t="shared" si="12"/>
        <v>30</v>
      </c>
      <c r="D99" s="2">
        <f>$B99+C99/12</f>
        <v>30</v>
      </c>
      <c r="E99">
        <f t="shared" si="10"/>
        <v>7.5181996333815171E-3</v>
      </c>
      <c r="F99" s="3">
        <f t="shared" si="11"/>
        <v>18.090672907232488</v>
      </c>
    </row>
    <row r="100" spans="2:6">
      <c r="B100">
        <v>35</v>
      </c>
      <c r="D100" s="2">
        <f>$B100+C100/12</f>
        <v>35</v>
      </c>
      <c r="E100">
        <f t="shared" si="10"/>
        <v>5.3074596087543946E-3</v>
      </c>
      <c r="F100" s="3">
        <f t="shared" si="11"/>
        <v>18.090681367388544</v>
      </c>
    </row>
    <row r="101" spans="2:6">
      <c r="B101">
        <v>40</v>
      </c>
      <c r="D101" s="2">
        <f>$B101+C101/12</f>
        <v>40</v>
      </c>
      <c r="E101">
        <f t="shared" si="10"/>
        <v>4.1013719181703934E-3</v>
      </c>
      <c r="F101" s="3">
        <f t="shared" si="11"/>
        <v>18.090684753211416</v>
      </c>
    </row>
    <row r="102" spans="2:6">
      <c r="B102">
        <v>45</v>
      </c>
      <c r="D102" s="2">
        <f t="shared" ref="D102:D119" si="16">$B102+C102/12</f>
        <v>45</v>
      </c>
      <c r="E102">
        <f t="shared" si="10"/>
        <v>3.3419207531976691E-3</v>
      </c>
      <c r="F102" s="3">
        <f t="shared" si="11"/>
        <v>18.090686439802294</v>
      </c>
    </row>
    <row r="103" spans="2:6">
      <c r="B103">
        <v>50</v>
      </c>
      <c r="D103" s="2">
        <f t="shared" si="16"/>
        <v>50</v>
      </c>
      <c r="E103">
        <f t="shared" si="10"/>
        <v>2.8197754825649568E-3</v>
      </c>
      <c r="F103" s="3">
        <f t="shared" si="11"/>
        <v>18.090687399719769</v>
      </c>
    </row>
    <row r="104" spans="2:6">
      <c r="B104">
        <v>55</v>
      </c>
      <c r="D104" s="2">
        <f t="shared" si="16"/>
        <v>55</v>
      </c>
      <c r="E104">
        <f t="shared" si="10"/>
        <v>2.4387408179117886E-3</v>
      </c>
      <c r="F104" s="3">
        <f t="shared" si="11"/>
        <v>18.090687997537074</v>
      </c>
    </row>
    <row r="105" spans="2:6">
      <c r="B105">
        <v>60</v>
      </c>
      <c r="D105" s="2">
        <f t="shared" si="16"/>
        <v>60</v>
      </c>
      <c r="E105">
        <f t="shared" si="10"/>
        <v>2.1484239429925278E-3</v>
      </c>
      <c r="F105" s="3">
        <f t="shared" si="11"/>
        <v>18.090688394871727</v>
      </c>
    </row>
    <row r="106" spans="2:6">
      <c r="B106">
        <v>65</v>
      </c>
      <c r="D106" s="2">
        <f t="shared" si="16"/>
        <v>65</v>
      </c>
      <c r="E106">
        <f t="shared" si="10"/>
        <v>1.9198740772762291E-3</v>
      </c>
      <c r="F106" s="3">
        <f t="shared" si="11"/>
        <v>18.090688672288614</v>
      </c>
    </row>
    <row r="107" spans="2:6">
      <c r="B107">
        <v>70</v>
      </c>
      <c r="D107" s="2">
        <f t="shared" si="16"/>
        <v>70</v>
      </c>
      <c r="E107">
        <f t="shared" si="10"/>
        <v>1.7352746526332896E-3</v>
      </c>
      <c r="F107" s="3">
        <f t="shared" si="11"/>
        <v>18.09068887360268</v>
      </c>
    </row>
    <row r="108" spans="2:6">
      <c r="B108">
        <v>75</v>
      </c>
      <c r="D108" s="2">
        <f t="shared" si="16"/>
        <v>75</v>
      </c>
      <c r="E108">
        <f t="shared" si="10"/>
        <v>1.5830602084550005E-3</v>
      </c>
      <c r="F108" s="3">
        <f t="shared" si="11"/>
        <v>18.090689024303092</v>
      </c>
    </row>
    <row r="109" spans="2:6">
      <c r="B109">
        <v>80</v>
      </c>
      <c r="D109" s="2">
        <f t="shared" si="16"/>
        <v>80</v>
      </c>
      <c r="E109">
        <f t="shared" si="10"/>
        <v>1.4553959199304356E-3</v>
      </c>
      <c r="F109" s="3">
        <f t="shared" si="11"/>
        <v>18.090689140036979</v>
      </c>
    </row>
    <row r="110" spans="2:6">
      <c r="B110">
        <v>85</v>
      </c>
      <c r="D110" s="2">
        <f t="shared" si="16"/>
        <v>85</v>
      </c>
      <c r="E110">
        <f t="shared" si="10"/>
        <v>1.3467856326053185E-3</v>
      </c>
      <c r="F110" s="3">
        <f t="shared" si="11"/>
        <v>18.090689230841019</v>
      </c>
    </row>
    <row r="111" spans="2:6">
      <c r="B111">
        <v>90</v>
      </c>
      <c r="D111" s="2">
        <f t="shared" si="16"/>
        <v>90</v>
      </c>
      <c r="E111">
        <f t="shared" si="10"/>
        <v>1.253259855180322E-3</v>
      </c>
      <c r="F111" s="3">
        <f t="shared" si="11"/>
        <v>18.090689303393123</v>
      </c>
    </row>
    <row r="112" spans="2:6">
      <c r="B112">
        <v>95</v>
      </c>
      <c r="D112" s="2">
        <f t="shared" si="16"/>
        <v>95</v>
      </c>
      <c r="E112">
        <f t="shared" si="10"/>
        <v>1.1718801059862338E-3</v>
      </c>
      <c r="F112" s="3">
        <f t="shared" si="11"/>
        <v>18.09068936227624</v>
      </c>
    </row>
    <row r="113" spans="2:6">
      <c r="B113">
        <v>100</v>
      </c>
      <c r="D113" s="2">
        <f t="shared" si="16"/>
        <v>100</v>
      </c>
      <c r="E113">
        <f t="shared" si="10"/>
        <v>1.1004245897816012E-3</v>
      </c>
      <c r="F113" s="3">
        <f t="shared" si="11"/>
        <v>18.090689410720223</v>
      </c>
    </row>
    <row r="114" spans="2:6">
      <c r="B114">
        <v>105</v>
      </c>
      <c r="D114" s="2">
        <f t="shared" si="16"/>
        <v>105</v>
      </c>
      <c r="E114">
        <f t="shared" si="10"/>
        <v>1.0371822585526491E-3</v>
      </c>
      <c r="F114" s="3">
        <f t="shared" si="11"/>
        <v>18.090689451054395</v>
      </c>
    </row>
    <row r="115" spans="2:6">
      <c r="B115">
        <v>110</v>
      </c>
      <c r="D115" s="2">
        <f t="shared" si="16"/>
        <v>110</v>
      </c>
      <c r="E115">
        <f t="shared" si="10"/>
        <v>9.8081402459160305E-4</v>
      </c>
      <c r="F115" s="3">
        <f t="shared" si="11"/>
        <v>18.090689484992861</v>
      </c>
    </row>
    <row r="116" spans="2:6">
      <c r="B116">
        <v>115</v>
      </c>
      <c r="D116" s="2">
        <f t="shared" si="16"/>
        <v>115</v>
      </c>
      <c r="E116">
        <f t="shared" si="10"/>
        <v>9.3025689633746689E-4</v>
      </c>
      <c r="F116" s="3">
        <f t="shared" si="11"/>
        <v>18.090689513819669</v>
      </c>
    </row>
    <row r="117" spans="2:6">
      <c r="B117">
        <v>120</v>
      </c>
      <c r="D117" s="2">
        <f t="shared" si="16"/>
        <v>120</v>
      </c>
      <c r="E117">
        <f t="shared" si="10"/>
        <v>8.8465630895462333E-4</v>
      </c>
      <c r="F117" s="3">
        <f t="shared" si="11"/>
        <v>18.090689538512081</v>
      </c>
    </row>
    <row r="118" spans="2:6">
      <c r="D118" s="2"/>
      <c r="F118" s="3"/>
    </row>
    <row r="119" spans="2:6">
      <c r="B119">
        <v>10000000000</v>
      </c>
      <c r="D119" s="2">
        <f t="shared" si="16"/>
        <v>10000000000</v>
      </c>
      <c r="E119">
        <f>(-1/(PI())*ATAN($N$3*(D119-$I$8))+1/2)</f>
        <v>9.0235041660946536E-12</v>
      </c>
      <c r="F119" s="3">
        <f>$O$3*E119*(D119-$I$8)+$I$8</f>
        <v>18.09068963699087</v>
      </c>
    </row>
  </sheetData>
  <sheetProtection algorithmName="SHA-512" hashValue="WgbwvSlctc4Q7w4bKiF1drDH8k9A1gREDzumT2Y3iFk83xwsFcPfDTAc2kC8TZNzockeWSub2bZbxfmz+PG3Mg==" saltValue="74C1h8Qk3zxINW7mPVUVZw==" spinCount="100000" sheet="1" objects="1" scenarios="1"/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Sheet1</vt:lpstr>
      <vt:lpstr>Sheet3 (3_4)</vt:lpstr>
      <vt:lpstr>Sheet2_2 (3_m1)</vt:lpstr>
      <vt:lpstr>Sheet2_3 (18_m1)</vt:lpstr>
      <vt:lpstr>Sheet2_3 (3_m2)</vt:lpstr>
      <vt:lpstr>Sheet2_3 (18_m2)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8644fmryf@gmail.com</dc:creator>
  <cp:lastModifiedBy>8644fmryf@gmail.com</cp:lastModifiedBy>
  <dcterms:created xsi:type="dcterms:W3CDTF">2026-10-19T05:54:50Z</dcterms:created>
  <dcterms:modified xsi:type="dcterms:W3CDTF">2026-10-27T03:11:20Z</dcterms:modified>
</cp:coreProperties>
</file>